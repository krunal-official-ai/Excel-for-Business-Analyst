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Ai.mL\Excel\Hypothisis_project\"/>
    </mc:Choice>
  </mc:AlternateContent>
  <bookViews>
    <workbookView xWindow="0" yWindow="0" windowWidth="28800" windowHeight="12300" activeTab="2"/>
  </bookViews>
  <sheets>
    <sheet name="Dashboard" sheetId="2" r:id="rId1"/>
    <sheet name="Dataset" sheetId="1" r:id="rId2"/>
    <sheet name="Pivot_table" sheetId="3" r:id="rId3"/>
  </sheets>
  <calcPr calcId="162913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2" l="1"/>
  <c r="K5" i="2" l="1"/>
  <c r="L5" i="2"/>
  <c r="E5" i="2" l="1"/>
  <c r="B5" i="2"/>
  <c r="C5" i="2"/>
</calcChain>
</file>

<file path=xl/sharedStrings.xml><?xml version="1.0" encoding="utf-8"?>
<sst xmlns="http://schemas.openxmlformats.org/spreadsheetml/2006/main" count="197" uniqueCount="32">
  <si>
    <t>Date</t>
  </si>
  <si>
    <t>Region</t>
  </si>
  <si>
    <t>Product</t>
  </si>
  <si>
    <t>Salesperson</t>
  </si>
  <si>
    <t>Units_Sold</t>
  </si>
  <si>
    <t>Unit_Price</t>
  </si>
  <si>
    <t>Total_Sale</t>
  </si>
  <si>
    <t>North</t>
  </si>
  <si>
    <t>Monitor</t>
  </si>
  <si>
    <t>Charlie</t>
  </si>
  <si>
    <t>South</t>
  </si>
  <si>
    <t>Laptop</t>
  </si>
  <si>
    <t>Diana</t>
  </si>
  <si>
    <t>Alice</t>
  </si>
  <si>
    <t>West</t>
  </si>
  <si>
    <t>Mobile</t>
  </si>
  <si>
    <t>East</t>
  </si>
  <si>
    <t>Bob</t>
  </si>
  <si>
    <t>Tablet</t>
  </si>
  <si>
    <t>Grand Total</t>
  </si>
  <si>
    <t>Sum of Total_Sale</t>
  </si>
  <si>
    <t>Best Region</t>
  </si>
  <si>
    <t>Total Revenue</t>
  </si>
  <si>
    <t>Total Units Sold</t>
  </si>
  <si>
    <t>Top Sales Person</t>
  </si>
  <si>
    <t>Count of Total_Sale</t>
  </si>
  <si>
    <t>Months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</si>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</sst>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"/>
    <numFmt numFmtId="165" formatCode="&quot;₹&quot;\ #,##0.00"/>
    <numFmt numFmtId="166" formatCode="[$INR]\ #,##0.00;[Red][$INR]\ #,##0.00"/>
    <numFmt numFmtId="167" formatCode="&quot;₹&quot;\ #,##0.00;[Red]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166" fontId="2" fillId="2" borderId="5" xfId="0" applyNumberFormat="1" applyFont="1" applyFill="1" applyBorder="1" applyAlignment="1">
      <alignment horizontal="center"/>
    </xf>
    <xf numFmtId="167" fontId="2" fillId="2" borderId="6" xfId="0" applyNumberFormat="1" applyFont="1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  <xf numFmtId="0" fontId="0" fillId="3" borderId="1" xfId="0" applyFill="1" applyBorder="1"/>
    <xf numFmtId="0" fontId="0" fillId="3" borderId="1" xfId="0" applyNumberFormat="1" applyFill="1" applyBorder="1"/>
    <xf numFmtId="0" fontId="0" fillId="4" borderId="0" xfId="0" applyFill="1"/>
    <xf numFmtId="0" fontId="0" fillId="2" borderId="0" xfId="0" applyFill="1"/>
    <xf numFmtId="0" fontId="3" fillId="4" borderId="0" xfId="0" applyFont="1" applyFill="1"/>
    <xf numFmtId="165" fontId="0" fillId="4" borderId="0" xfId="0" applyNumberFormat="1" applyFill="1"/>
    <xf numFmtId="0" fontId="0" fillId="5" borderId="3" xfId="0" applyFill="1" applyBorder="1" applyAlignment="1">
      <alignment horizontal="center"/>
    </xf>
    <xf numFmtId="165" fontId="3" fillId="5" borderId="2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165" fontId="3" fillId="5" borderId="3" xfId="0" applyNumberFormat="1" applyFont="1" applyFill="1" applyBorder="1" applyAlignment="1">
      <alignment horizontal="center"/>
    </xf>
    <xf numFmtId="165" fontId="3" fillId="5" borderId="2" xfId="0" applyNumberFormat="1" applyFont="1" applyFill="1" applyBorder="1" applyAlignment="1">
      <alignment horizontal="center"/>
    </xf>
    <xf numFmtId="1" fontId="3" fillId="5" borderId="3" xfId="0" applyNumberFormat="1" applyFont="1" applyFill="1" applyBorder="1" applyAlignment="1">
      <alignment horizontal="center"/>
    </xf>
    <xf numFmtId="1" fontId="3" fillId="5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8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₹&quot;\ #,##0.00;[Red]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[$INR]\ #,##0.00;[Red][$INR]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41.490034027775" createdVersion="6" refreshedVersion="6" minRefreshableVersion="3" recordCount="50">
  <cacheSource type="worksheet">
    <worksheetSource name="sales_dataset"/>
  </cacheSource>
  <cacheFields count="8">
    <cacheField name="Date" numFmtId="164">
      <sharedItems containsSemiMixedTypes="0" containsNonDate="0" containsDate="1" containsString="0" minDate="2025-01-01T00:00:00" maxDate="2025-06-27T00:00:00" count="42">
        <d v="2025-03-22T00:00:00"/>
        <d v="2025-03-25T00:00:00"/>
        <d v="2025-04-15T00:00:00"/>
        <d v="2025-05-03T00:00:00"/>
        <d v="2025-02-17T00:00:00"/>
        <d v="2025-01-10T00:00:00"/>
        <d v="2025-06-16T00:00:00"/>
        <d v="2025-01-31T00:00:00"/>
        <d v="2025-05-18T00:00:00"/>
        <d v="2025-02-07T00:00:00"/>
        <d v="2025-01-20T00:00:00"/>
        <d v="2025-03-23T00:00:00"/>
        <d v="2025-05-27T00:00:00"/>
        <d v="2025-01-13T00:00:00"/>
        <d v="2025-04-05T00:00:00"/>
        <d v="2025-02-02T00:00:00"/>
        <d v="2025-03-04T00:00:00"/>
        <d v="2025-03-24T00:00:00"/>
        <d v="2025-03-17T00:00:00"/>
        <d v="2025-05-15T00:00:00"/>
        <d v="2025-04-21T00:00:00"/>
        <d v="2025-06-24T00:00:00"/>
        <d v="2025-01-04T00:00:00"/>
        <d v="2025-02-12T00:00:00"/>
        <d v="2025-01-08T00:00:00"/>
        <d v="2025-06-26T00:00:00"/>
        <d v="2025-02-10T00:00:00"/>
        <d v="2025-03-09T00:00:00"/>
        <d v="2025-04-06T00:00:00"/>
        <d v="2025-06-11T00:00:00"/>
        <d v="2025-02-24T00:00:00"/>
        <d v="2025-03-19T00:00:00"/>
        <d v="2025-03-21T00:00:00"/>
        <d v="2025-05-24T00:00:00"/>
        <d v="2025-04-25T00:00:00"/>
        <d v="2025-06-03T00:00:00"/>
        <d v="2025-01-01T00:00:00"/>
        <d v="2025-01-14T00:00:00"/>
        <d v="2025-05-16T00:00:00"/>
        <d v="2025-01-25T00:00:00"/>
        <d v="2025-01-19T00:00:00"/>
        <d v="2025-05-22T00:00:00"/>
      </sharedItems>
      <fieldGroup par="7" base="0">
        <rangePr groupBy="days" startDate="2025-01-01T00:00:00" endDate="2025-06-27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7-06-2025"/>
        </groupItems>
      </fieldGroup>
    </cacheField>
    <cacheField name="Region" numFmtId="0">
      <sharedItems count="4">
        <s v="East"/>
        <s v="South"/>
        <s v="West"/>
        <s v="North"/>
      </sharedItems>
    </cacheField>
    <cacheField name="Product" numFmtId="0">
      <sharedItems count="4">
        <s v="Monitor"/>
        <s v="Tablet"/>
        <s v="Mobile"/>
        <s v="Laptop"/>
      </sharedItems>
    </cacheField>
    <cacheField name="Salesperson" numFmtId="0">
      <sharedItems count="4">
        <s v="Alice"/>
        <s v="Charlie"/>
        <s v="Bob"/>
        <s v="Diana"/>
      </sharedItems>
    </cacheField>
    <cacheField name="Units_Sold" numFmtId="0">
      <sharedItems containsSemiMixedTypes="0" containsString="0" containsNumber="1" containsInteger="1" minValue="1" maxValue="10"/>
    </cacheField>
    <cacheField name="Unit_Price" numFmtId="166">
      <sharedItems containsSemiMixedTypes="0" containsString="0" containsNumber="1" containsInteger="1" minValue="182" maxValue="999"/>
    </cacheField>
    <cacheField name="Total_Sale" numFmtId="167">
      <sharedItems containsSemiMixedTypes="0" containsString="0" containsNumber="1" containsInteger="1" minValue="410" maxValue="8991"/>
    </cacheField>
    <cacheField name="Months" numFmtId="0" databaseField="0">
      <fieldGroup base="0">
        <rangePr groupBy="months" startDate="2025-01-01T00:00:00" endDate="2025-06-27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06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n v="7"/>
    <n v="477"/>
    <n v="3339"/>
  </r>
  <r>
    <x v="1"/>
    <x v="1"/>
    <x v="1"/>
    <x v="1"/>
    <n v="4"/>
    <n v="800"/>
    <n v="3200"/>
  </r>
  <r>
    <x v="2"/>
    <x v="1"/>
    <x v="0"/>
    <x v="2"/>
    <n v="6"/>
    <n v="715"/>
    <n v="4290"/>
  </r>
  <r>
    <x v="3"/>
    <x v="0"/>
    <x v="1"/>
    <x v="1"/>
    <n v="5"/>
    <n v="925"/>
    <n v="4625"/>
  </r>
  <r>
    <x v="2"/>
    <x v="2"/>
    <x v="2"/>
    <x v="1"/>
    <n v="5"/>
    <n v="905"/>
    <n v="4525"/>
  </r>
  <r>
    <x v="4"/>
    <x v="3"/>
    <x v="1"/>
    <x v="2"/>
    <n v="9"/>
    <n v="999"/>
    <n v="8991"/>
  </r>
  <r>
    <x v="5"/>
    <x v="0"/>
    <x v="1"/>
    <x v="1"/>
    <n v="1"/>
    <n v="747"/>
    <n v="747"/>
  </r>
  <r>
    <x v="6"/>
    <x v="2"/>
    <x v="2"/>
    <x v="3"/>
    <n v="3"/>
    <n v="333"/>
    <n v="999"/>
  </r>
  <r>
    <x v="7"/>
    <x v="2"/>
    <x v="1"/>
    <x v="0"/>
    <n v="7"/>
    <n v="435"/>
    <n v="3045"/>
  </r>
  <r>
    <x v="8"/>
    <x v="0"/>
    <x v="2"/>
    <x v="0"/>
    <n v="7"/>
    <n v="347"/>
    <n v="2429"/>
  </r>
  <r>
    <x v="9"/>
    <x v="3"/>
    <x v="0"/>
    <x v="2"/>
    <n v="2"/>
    <n v="921"/>
    <n v="1842"/>
  </r>
  <r>
    <x v="10"/>
    <x v="3"/>
    <x v="1"/>
    <x v="2"/>
    <n v="4"/>
    <n v="459"/>
    <n v="1836"/>
  </r>
  <r>
    <x v="11"/>
    <x v="2"/>
    <x v="2"/>
    <x v="3"/>
    <n v="8"/>
    <n v="963"/>
    <n v="7704"/>
  </r>
  <r>
    <x v="1"/>
    <x v="2"/>
    <x v="3"/>
    <x v="3"/>
    <n v="10"/>
    <n v="496"/>
    <n v="4960"/>
  </r>
  <r>
    <x v="12"/>
    <x v="3"/>
    <x v="0"/>
    <x v="3"/>
    <n v="5"/>
    <n v="363"/>
    <n v="1815"/>
  </r>
  <r>
    <x v="13"/>
    <x v="1"/>
    <x v="1"/>
    <x v="1"/>
    <n v="8"/>
    <n v="781"/>
    <n v="6248"/>
  </r>
  <r>
    <x v="14"/>
    <x v="3"/>
    <x v="1"/>
    <x v="2"/>
    <n v="7"/>
    <n v="500"/>
    <n v="3500"/>
  </r>
  <r>
    <x v="15"/>
    <x v="2"/>
    <x v="0"/>
    <x v="2"/>
    <n v="4"/>
    <n v="702"/>
    <n v="2808"/>
  </r>
  <r>
    <x v="16"/>
    <x v="3"/>
    <x v="0"/>
    <x v="0"/>
    <n v="2"/>
    <n v="641"/>
    <n v="1282"/>
  </r>
  <r>
    <x v="0"/>
    <x v="1"/>
    <x v="3"/>
    <x v="0"/>
    <n v="7"/>
    <n v="526"/>
    <n v="3682"/>
  </r>
  <r>
    <x v="17"/>
    <x v="2"/>
    <x v="2"/>
    <x v="2"/>
    <n v="8"/>
    <n v="285"/>
    <n v="2280"/>
  </r>
  <r>
    <x v="18"/>
    <x v="3"/>
    <x v="0"/>
    <x v="2"/>
    <n v="7"/>
    <n v="818"/>
    <n v="5726"/>
  </r>
  <r>
    <x v="19"/>
    <x v="2"/>
    <x v="1"/>
    <x v="0"/>
    <n v="9"/>
    <n v="732"/>
    <n v="6588"/>
  </r>
  <r>
    <x v="20"/>
    <x v="0"/>
    <x v="3"/>
    <x v="2"/>
    <n v="5"/>
    <n v="472"/>
    <n v="2360"/>
  </r>
  <r>
    <x v="21"/>
    <x v="0"/>
    <x v="2"/>
    <x v="0"/>
    <n v="7"/>
    <n v="182"/>
    <n v="1274"/>
  </r>
  <r>
    <x v="22"/>
    <x v="0"/>
    <x v="0"/>
    <x v="2"/>
    <n v="3"/>
    <n v="278"/>
    <n v="834"/>
  </r>
  <r>
    <x v="23"/>
    <x v="3"/>
    <x v="3"/>
    <x v="3"/>
    <n v="2"/>
    <n v="401"/>
    <n v="802"/>
  </r>
  <r>
    <x v="24"/>
    <x v="0"/>
    <x v="1"/>
    <x v="1"/>
    <n v="7"/>
    <n v="336"/>
    <n v="2352"/>
  </r>
  <r>
    <x v="25"/>
    <x v="0"/>
    <x v="3"/>
    <x v="2"/>
    <n v="4"/>
    <n v="416"/>
    <n v="1664"/>
  </r>
  <r>
    <x v="26"/>
    <x v="0"/>
    <x v="1"/>
    <x v="3"/>
    <n v="7"/>
    <n v="783"/>
    <n v="5481"/>
  </r>
  <r>
    <x v="27"/>
    <x v="3"/>
    <x v="3"/>
    <x v="2"/>
    <n v="2"/>
    <n v="887"/>
    <n v="1774"/>
  </r>
  <r>
    <x v="28"/>
    <x v="3"/>
    <x v="3"/>
    <x v="2"/>
    <n v="2"/>
    <n v="205"/>
    <n v="410"/>
  </r>
  <r>
    <x v="29"/>
    <x v="0"/>
    <x v="1"/>
    <x v="0"/>
    <n v="5"/>
    <n v="205"/>
    <n v="1025"/>
  </r>
  <r>
    <x v="30"/>
    <x v="3"/>
    <x v="2"/>
    <x v="2"/>
    <n v="2"/>
    <n v="283"/>
    <n v="566"/>
  </r>
  <r>
    <x v="3"/>
    <x v="2"/>
    <x v="2"/>
    <x v="3"/>
    <n v="9"/>
    <n v="681"/>
    <n v="6129"/>
  </r>
  <r>
    <x v="6"/>
    <x v="0"/>
    <x v="0"/>
    <x v="1"/>
    <n v="2"/>
    <n v="359"/>
    <n v="718"/>
  </r>
  <r>
    <x v="31"/>
    <x v="2"/>
    <x v="2"/>
    <x v="0"/>
    <n v="6"/>
    <n v="949"/>
    <n v="5694"/>
  </r>
  <r>
    <x v="32"/>
    <x v="3"/>
    <x v="3"/>
    <x v="2"/>
    <n v="6"/>
    <n v="417"/>
    <n v="2502"/>
  </r>
  <r>
    <x v="33"/>
    <x v="2"/>
    <x v="1"/>
    <x v="3"/>
    <n v="8"/>
    <n v="521"/>
    <n v="4168"/>
  </r>
  <r>
    <x v="34"/>
    <x v="2"/>
    <x v="0"/>
    <x v="0"/>
    <n v="2"/>
    <n v="651"/>
    <n v="1302"/>
  </r>
  <r>
    <x v="35"/>
    <x v="3"/>
    <x v="2"/>
    <x v="2"/>
    <n v="7"/>
    <n v="256"/>
    <n v="1792"/>
  </r>
  <r>
    <x v="36"/>
    <x v="2"/>
    <x v="2"/>
    <x v="0"/>
    <n v="2"/>
    <n v="740"/>
    <n v="1480"/>
  </r>
  <r>
    <x v="37"/>
    <x v="3"/>
    <x v="3"/>
    <x v="3"/>
    <n v="8"/>
    <n v="828"/>
    <n v="6624"/>
  </r>
  <r>
    <x v="38"/>
    <x v="3"/>
    <x v="1"/>
    <x v="3"/>
    <n v="5"/>
    <n v="737"/>
    <n v="3685"/>
  </r>
  <r>
    <x v="39"/>
    <x v="0"/>
    <x v="1"/>
    <x v="0"/>
    <n v="5"/>
    <n v="376"/>
    <n v="1880"/>
  </r>
  <r>
    <x v="40"/>
    <x v="0"/>
    <x v="3"/>
    <x v="0"/>
    <n v="8"/>
    <n v="714"/>
    <n v="5712"/>
  </r>
  <r>
    <x v="23"/>
    <x v="1"/>
    <x v="1"/>
    <x v="2"/>
    <n v="6"/>
    <n v="741"/>
    <n v="4446"/>
  </r>
  <r>
    <x v="2"/>
    <x v="2"/>
    <x v="1"/>
    <x v="2"/>
    <n v="6"/>
    <n v="290"/>
    <n v="1740"/>
  </r>
  <r>
    <x v="41"/>
    <x v="1"/>
    <x v="0"/>
    <x v="3"/>
    <n v="3"/>
    <n v="471"/>
    <n v="1413"/>
  </r>
  <r>
    <x v="34"/>
    <x v="1"/>
    <x v="3"/>
    <x v="2"/>
    <n v="8"/>
    <n v="802"/>
    <n v="64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 wise sales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B8" firstHeaderRow="1" firstDataRow="1" firstDataCol="1"/>
  <pivotFields count="8">
    <pivotField compact="0" numFmtId="16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compact="0" outline="0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66" outline="0" showAll="0"/>
    <pivotField dataField="1" compact="0" numFmtId="167" outline="0" showAl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Total_Sale" fld="6" baseField="0" baseItem="0"/>
  </dataFields>
  <formats count="9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4">
      <pivotArea dataOnly="0" labelOnly="1" outline="0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6">
      <pivotArea dataOnly="0" labelOnly="1" outline="0" axis="axisValues" fieldPosition="0"/>
    </format>
    <format dxfId="7">
      <pivotArea outline="0" fieldPosition="0">
        <references count="1">
          <reference field="1" count="1" selected="0">
            <x v="3"/>
          </reference>
        </references>
      </pivotArea>
    </format>
    <format dxfId="8">
      <pivotArea dataOnly="0" labelOnly="1" outline="0" fieldPosition="0">
        <references count="1">
          <reference field="1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roduct sales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G5:H10" firstHeaderRow="1" firstDataRow="1" firstDataCol="1"/>
  <pivotFields count="8">
    <pivotField compact="0" numFmtId="16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axis="axisRow" compact="0" outline="0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numFmtId="166" outline="0" showAll="0"/>
    <pivotField dataField="1" compact="0" numFmtId="167" outline="0" showAl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Sum of Total_Sale" fld="6" baseField="0" baseItem="0"/>
  </dataFields>
  <formats count="8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3" type="button" dataOnly="0" labelOnly="1" outline="0"/>
    </format>
    <format dxfId="46">
      <pivotArea dataOnly="0" labelOnly="1" outline="0" axis="axisValues" fieldPosition="0"/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outline="0" fieldPosition="0">
        <references count="1">
          <reference field="2" count="1" selected="0">
            <x v="3"/>
          </reference>
        </references>
      </pivotArea>
    </format>
    <format dxfId="42">
      <pivotArea dataOnly="0" labelOnly="1" outline="0" fieldPosition="0">
        <references count="1">
          <reference field="2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sales person wise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D5:E10" firstHeaderRow="1" firstDataRow="1" firstDataCol="1"/>
  <pivotFields count="8">
    <pivotField compact="0" numFmtId="16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6" outline="0" showAll="0"/>
    <pivotField dataField="1" compact="0" numFmtId="167" outline="0" showAl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Total_Sale" fld="6" baseField="0" baseItem="0"/>
  </dataFields>
  <formats count="9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3" type="button" dataOnly="0" labelOnly="1" outline="0" axis="axisRow" fieldPosition="0"/>
    </format>
    <format dxfId="55">
      <pivotArea dataOnly="0" labelOnly="1" outline="0" axis="axisValues" fieldPosition="0"/>
    </format>
    <format dxfId="54">
      <pivotArea dataOnly="0" labelOnly="1" outline="0" fieldPosition="0">
        <references count="1">
          <reference field="3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outline="0" fieldPosition="0">
        <references count="1">
          <reference field="3" count="1" selected="0">
            <x v="1"/>
          </reference>
        </references>
      </pivotArea>
    </format>
    <format dxfId="50">
      <pivotArea dataOnly="0" labelOnly="1" outline="0" fieldPosition="0">
        <references count="1">
          <reference field="3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11:B17" firstHeaderRow="1" firstDataRow="1" firstDataCol="1"/>
  <pivotFields count="8">
    <pivotField compact="0" numFmtId="16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outline="0" showAll="0">
      <items count="5">
        <item x="3"/>
        <item x="2"/>
        <item x="0"/>
        <item x="1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numFmtId="166" outline="0" showAll="0"/>
    <pivotField dataField="1" compact="0" numFmtId="167" outline="0" showAll="0"/>
    <pivotField axis="axisRow" compact="0" outline="0" showAll="0" measureFilter="1" sortType="descending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6">
    <i>
      <x v="3"/>
    </i>
    <i>
      <x v="5"/>
    </i>
    <i>
      <x v="1"/>
    </i>
    <i>
      <x v="2"/>
    </i>
    <i>
      <x v="4"/>
    </i>
    <i t="grand">
      <x/>
    </i>
  </rowItems>
  <colItems count="1">
    <i/>
  </colItems>
  <dataFields count="1">
    <dataField name="Sum of Total_Sale" fld="6" baseField="0" baseItem="0"/>
  </dataFields>
  <formats count="8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3" type="button" dataOnly="0" labelOnly="1" outline="0"/>
    </format>
    <format dxfId="63">
      <pivotArea dataOnly="0" labelOnly="1" outline="0" axis="axisValues" fieldPosition="0"/>
    </format>
    <format dxfId="62">
      <pivotArea dataOnly="0" labelOnly="1" grandRow="1" outline="0" fieldPosition="0"/>
    </format>
    <format dxfId="61">
      <pivotArea dataOnly="0" labelOnly="1" outline="0" axis="axisValues" fieldPosition="0"/>
    </format>
    <format dxfId="60">
      <pivotArea outline="0" fieldPosition="0">
        <references count="1">
          <reference field="7" count="1" selected="0">
            <x v="3"/>
          </reference>
        </references>
      </pivotArea>
    </format>
    <format dxfId="59">
      <pivotArea dataOnly="0" labelOnly="1" outline="0" fieldPosition="0">
        <references count="1">
          <reference field="7" count="1">
            <x v="3"/>
          </reference>
        </references>
      </pivotArea>
    </format>
  </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J5:K10" firstHeaderRow="1" firstDataRow="1" firstDataCol="1"/>
  <pivotFields count="8">
    <pivotField compact="0" numFmtId="16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6" outline="0" showAll="0"/>
    <pivotField dataField="1" compact="0" numFmtId="167" outline="0" showAl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Count of Total_Sale" fld="6" subtotal="count" baseField="3" baseItem="1"/>
  </dataFields>
  <formats count="9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3" type="button" dataOnly="0" labelOnly="1" outline="0" axis="axisRow" fieldPosition="0"/>
    </format>
    <format dxfId="72">
      <pivotArea dataOnly="0" labelOnly="1" outline="0" axis="axisValues" fieldPosition="0"/>
    </format>
    <format dxfId="71">
      <pivotArea dataOnly="0" labelOnly="1" outline="0" fieldPosition="0">
        <references count="1">
          <reference field="3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outline="0" fieldPosition="0">
        <references count="1">
          <reference field="3" count="1" selected="0">
            <x v="1"/>
          </reference>
        </references>
      </pivotArea>
    </format>
    <format dxfId="67">
      <pivotArea dataOnly="0" labelOnly="1" outline="0" fieldPosition="0">
        <references count="1">
          <reference field="3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_dataset" displayName="sales_dataset" ref="A1:G51" totalsRowShown="0" headerRowDxfId="87" dataDxfId="85" headerRowBorderDxfId="86" tableBorderDxfId="84" totalsRowBorderDxfId="83">
  <autoFilter ref="A1:G51"/>
  <tableColumns count="7">
    <tableColumn id="1" name="Date" dataDxfId="82"/>
    <tableColumn id="2" name="Region" dataDxfId="81"/>
    <tableColumn id="3" name="Product" dataDxfId="80"/>
    <tableColumn id="4" name="Salesperson" dataDxfId="79"/>
    <tableColumn id="5" name="Units_Sold" dataDxfId="78"/>
    <tableColumn id="6" name="Unit_Price" dataDxfId="77"/>
    <tableColumn id="7" name="Total_Sale" dataDxfId="7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zoomScale="175" zoomScaleNormal="175" workbookViewId="0">
      <selection activeCell="K12" sqref="K12"/>
    </sheetView>
  </sheetViews>
  <sheetFormatPr defaultRowHeight="15" x14ac:dyDescent="0.25"/>
  <cols>
    <col min="3" max="3" width="13.28515625" customWidth="1"/>
    <col min="5" max="5" width="10.42578125" customWidth="1"/>
    <col min="6" max="6" width="13.28515625" customWidth="1"/>
    <col min="9" max="9" width="13.42578125" customWidth="1"/>
    <col min="12" max="12" width="13.85546875" customWidth="1"/>
  </cols>
  <sheetData>
    <row r="1" spans="1:15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x14ac:dyDescent="0.25">
      <c r="A4" s="23"/>
      <c r="B4" s="31" t="s">
        <v>21</v>
      </c>
      <c r="C4" s="31"/>
      <c r="D4" s="23"/>
      <c r="E4" s="30" t="s">
        <v>22</v>
      </c>
      <c r="F4" s="30"/>
      <c r="G4" s="23"/>
      <c r="H4" s="30" t="s">
        <v>23</v>
      </c>
      <c r="I4" s="30"/>
      <c r="J4" s="23"/>
      <c r="K4" s="30" t="s">
        <v>24</v>
      </c>
      <c r="L4" s="30"/>
      <c r="M4" s="23"/>
      <c r="N4" s="23"/>
      <c r="O4" s="23"/>
    </row>
    <row r="5" spans="1:15" x14ac:dyDescent="0.25">
      <c r="A5" s="23"/>
      <c r="B5" s="26" t="str">
        <f>Pivot_table!A4</f>
        <v>West</v>
      </c>
      <c r="C5" s="27">
        <f>GETPIVOTDATA("Total_Sale",Pivot_table!$A$3,"Region","West")</f>
        <v>53422</v>
      </c>
      <c r="D5" s="24"/>
      <c r="E5" s="32">
        <f>SUM(sales_dataset[Total_Sale])</f>
        <v>160704</v>
      </c>
      <c r="F5" s="33"/>
      <c r="G5" s="24"/>
      <c r="H5" s="34">
        <f>SUM(sales_dataset[Units_Sold])</f>
        <v>272</v>
      </c>
      <c r="I5" s="35"/>
      <c r="J5" s="22"/>
      <c r="K5" s="28" t="str">
        <f>Pivot_table!D6</f>
        <v>Bob</v>
      </c>
      <c r="L5" s="29">
        <f>GETPIVOTDATA("Total_Sale",Pivot_table!$D$5,"Salesperson","Bob")</f>
        <v>55777</v>
      </c>
      <c r="M5" s="22"/>
      <c r="N5" s="22"/>
      <c r="O5" s="22"/>
    </row>
    <row r="6" spans="1:15" x14ac:dyDescent="0.25">
      <c r="A6" s="23"/>
      <c r="B6" s="22"/>
      <c r="C6" s="25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</row>
    <row r="7" spans="1:15" x14ac:dyDescent="0.25">
      <c r="A7" s="23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</row>
    <row r="8" spans="1:15" x14ac:dyDescent="0.25">
      <c r="A8" s="23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9" spans="1:15" x14ac:dyDescent="0.25">
      <c r="A9" s="23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</row>
    <row r="10" spans="1:15" x14ac:dyDescent="0.25">
      <c r="A10" s="23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spans="1:15" x14ac:dyDescent="0.25">
      <c r="A11" s="23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x14ac:dyDescent="0.25">
      <c r="A12" s="23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</row>
    <row r="13" spans="1:15" x14ac:dyDescent="0.25">
      <c r="A13" s="23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pans="1:15" x14ac:dyDescent="0.25">
      <c r="A14" s="23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x14ac:dyDescent="0.25">
      <c r="A15" s="23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1:15" x14ac:dyDescent="0.25">
      <c r="A16" s="23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</row>
    <row r="17" spans="1:15" x14ac:dyDescent="0.25">
      <c r="A17" s="23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x14ac:dyDescent="0.25">
      <c r="A18" s="23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1:15" x14ac:dyDescent="0.25">
      <c r="A19" s="23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1:15" x14ac:dyDescent="0.25">
      <c r="A20" s="23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1:15" x14ac:dyDescent="0.25">
      <c r="A21" s="23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1:15" x14ac:dyDescent="0.25">
      <c r="A22" s="23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</row>
  </sheetData>
  <mergeCells count="6">
    <mergeCell ref="K4:L4"/>
    <mergeCell ref="B4:C4"/>
    <mergeCell ref="E4:F4"/>
    <mergeCell ref="E5:F5"/>
    <mergeCell ref="H4:I4"/>
    <mergeCell ref="H5:I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zoomScale="175" zoomScaleNormal="175" workbookViewId="0"/>
  </sheetViews>
  <sheetFormatPr defaultRowHeight="15" x14ac:dyDescent="0.25"/>
  <cols>
    <col min="1" max="1" width="16.7109375" style="1" customWidth="1"/>
    <col min="2" max="2" width="11.7109375" style="1" customWidth="1"/>
    <col min="3" max="3" width="15.28515625" style="1" customWidth="1"/>
    <col min="4" max="4" width="18.42578125" style="1" customWidth="1"/>
    <col min="5" max="5" width="16.140625" style="1" customWidth="1"/>
    <col min="6" max="6" width="17.28515625" style="4" customWidth="1"/>
    <col min="7" max="7" width="17.7109375" style="5" customWidth="1"/>
    <col min="8" max="16384" width="9.140625" style="1"/>
  </cols>
  <sheetData>
    <row r="1" spans="1:7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5" t="s">
        <v>5</v>
      </c>
      <c r="G1" s="16" t="s">
        <v>6</v>
      </c>
    </row>
    <row r="2" spans="1:7" x14ac:dyDescent="0.25">
      <c r="A2" s="6">
        <v>45738</v>
      </c>
      <c r="B2" s="2" t="s">
        <v>16</v>
      </c>
      <c r="C2" s="2" t="s">
        <v>8</v>
      </c>
      <c r="D2" s="2" t="s">
        <v>13</v>
      </c>
      <c r="E2" s="2">
        <v>7</v>
      </c>
      <c r="F2" s="3">
        <v>477</v>
      </c>
      <c r="G2" s="7">
        <v>3339</v>
      </c>
    </row>
    <row r="3" spans="1:7" x14ac:dyDescent="0.25">
      <c r="A3" s="6">
        <v>45741</v>
      </c>
      <c r="B3" s="2" t="s">
        <v>10</v>
      </c>
      <c r="C3" s="2" t="s">
        <v>18</v>
      </c>
      <c r="D3" s="2" t="s">
        <v>9</v>
      </c>
      <c r="E3" s="2">
        <v>4</v>
      </c>
      <c r="F3" s="3">
        <v>800</v>
      </c>
      <c r="G3" s="7">
        <v>3200</v>
      </c>
    </row>
    <row r="4" spans="1:7" x14ac:dyDescent="0.25">
      <c r="A4" s="6">
        <v>45762</v>
      </c>
      <c r="B4" s="2" t="s">
        <v>10</v>
      </c>
      <c r="C4" s="2" t="s">
        <v>8</v>
      </c>
      <c r="D4" s="2" t="s">
        <v>17</v>
      </c>
      <c r="E4" s="2">
        <v>6</v>
      </c>
      <c r="F4" s="3">
        <v>715</v>
      </c>
      <c r="G4" s="7">
        <v>4290</v>
      </c>
    </row>
    <row r="5" spans="1:7" x14ac:dyDescent="0.25">
      <c r="A5" s="6">
        <v>45780</v>
      </c>
      <c r="B5" s="2" t="s">
        <v>16</v>
      </c>
      <c r="C5" s="2" t="s">
        <v>18</v>
      </c>
      <c r="D5" s="2" t="s">
        <v>9</v>
      </c>
      <c r="E5" s="2">
        <v>5</v>
      </c>
      <c r="F5" s="3">
        <v>925</v>
      </c>
      <c r="G5" s="7">
        <v>4625</v>
      </c>
    </row>
    <row r="6" spans="1:7" x14ac:dyDescent="0.25">
      <c r="A6" s="6">
        <v>45762</v>
      </c>
      <c r="B6" s="2" t="s">
        <v>14</v>
      </c>
      <c r="C6" s="2" t="s">
        <v>15</v>
      </c>
      <c r="D6" s="2" t="s">
        <v>9</v>
      </c>
      <c r="E6" s="2">
        <v>5</v>
      </c>
      <c r="F6" s="3">
        <v>905</v>
      </c>
      <c r="G6" s="7">
        <v>4525</v>
      </c>
    </row>
    <row r="7" spans="1:7" x14ac:dyDescent="0.25">
      <c r="A7" s="6">
        <v>45705</v>
      </c>
      <c r="B7" s="2" t="s">
        <v>7</v>
      </c>
      <c r="C7" s="2" t="s">
        <v>18</v>
      </c>
      <c r="D7" s="2" t="s">
        <v>17</v>
      </c>
      <c r="E7" s="2">
        <v>9</v>
      </c>
      <c r="F7" s="3">
        <v>999</v>
      </c>
      <c r="G7" s="7">
        <v>8991</v>
      </c>
    </row>
    <row r="8" spans="1:7" x14ac:dyDescent="0.25">
      <c r="A8" s="6">
        <v>45667</v>
      </c>
      <c r="B8" s="2" t="s">
        <v>16</v>
      </c>
      <c r="C8" s="2" t="s">
        <v>18</v>
      </c>
      <c r="D8" s="2" t="s">
        <v>9</v>
      </c>
      <c r="E8" s="2">
        <v>1</v>
      </c>
      <c r="F8" s="3">
        <v>747</v>
      </c>
      <c r="G8" s="7">
        <v>747</v>
      </c>
    </row>
    <row r="9" spans="1:7" x14ac:dyDescent="0.25">
      <c r="A9" s="6">
        <v>45824</v>
      </c>
      <c r="B9" s="2" t="s">
        <v>14</v>
      </c>
      <c r="C9" s="2" t="s">
        <v>15</v>
      </c>
      <c r="D9" s="2" t="s">
        <v>12</v>
      </c>
      <c r="E9" s="2">
        <v>3</v>
      </c>
      <c r="F9" s="3">
        <v>333</v>
      </c>
      <c r="G9" s="7">
        <v>999</v>
      </c>
    </row>
    <row r="10" spans="1:7" x14ac:dyDescent="0.25">
      <c r="A10" s="6">
        <v>45688</v>
      </c>
      <c r="B10" s="2" t="s">
        <v>14</v>
      </c>
      <c r="C10" s="2" t="s">
        <v>18</v>
      </c>
      <c r="D10" s="2" t="s">
        <v>13</v>
      </c>
      <c r="E10" s="2">
        <v>7</v>
      </c>
      <c r="F10" s="3">
        <v>435</v>
      </c>
      <c r="G10" s="7">
        <v>3045</v>
      </c>
    </row>
    <row r="11" spans="1:7" x14ac:dyDescent="0.25">
      <c r="A11" s="6">
        <v>45795</v>
      </c>
      <c r="B11" s="2" t="s">
        <v>16</v>
      </c>
      <c r="C11" s="2" t="s">
        <v>15</v>
      </c>
      <c r="D11" s="2" t="s">
        <v>13</v>
      </c>
      <c r="E11" s="2">
        <v>7</v>
      </c>
      <c r="F11" s="3">
        <v>347</v>
      </c>
      <c r="G11" s="7">
        <v>2429</v>
      </c>
    </row>
    <row r="12" spans="1:7" x14ac:dyDescent="0.25">
      <c r="A12" s="6">
        <v>45695</v>
      </c>
      <c r="B12" s="2" t="s">
        <v>7</v>
      </c>
      <c r="C12" s="2" t="s">
        <v>8</v>
      </c>
      <c r="D12" s="2" t="s">
        <v>17</v>
      </c>
      <c r="E12" s="2">
        <v>2</v>
      </c>
      <c r="F12" s="3">
        <v>921</v>
      </c>
      <c r="G12" s="7">
        <v>1842</v>
      </c>
    </row>
    <row r="13" spans="1:7" x14ac:dyDescent="0.25">
      <c r="A13" s="6">
        <v>45677</v>
      </c>
      <c r="B13" s="2" t="s">
        <v>7</v>
      </c>
      <c r="C13" s="2" t="s">
        <v>18</v>
      </c>
      <c r="D13" s="2" t="s">
        <v>17</v>
      </c>
      <c r="E13" s="2">
        <v>4</v>
      </c>
      <c r="F13" s="3">
        <v>459</v>
      </c>
      <c r="G13" s="7">
        <v>1836</v>
      </c>
    </row>
    <row r="14" spans="1:7" x14ac:dyDescent="0.25">
      <c r="A14" s="6">
        <v>45739</v>
      </c>
      <c r="B14" s="2" t="s">
        <v>14</v>
      </c>
      <c r="C14" s="2" t="s">
        <v>15</v>
      </c>
      <c r="D14" s="2" t="s">
        <v>12</v>
      </c>
      <c r="E14" s="2">
        <v>8</v>
      </c>
      <c r="F14" s="3">
        <v>963</v>
      </c>
      <c r="G14" s="7">
        <v>7704</v>
      </c>
    </row>
    <row r="15" spans="1:7" x14ac:dyDescent="0.25">
      <c r="A15" s="6">
        <v>45741</v>
      </c>
      <c r="B15" s="2" t="s">
        <v>14</v>
      </c>
      <c r="C15" s="2" t="s">
        <v>11</v>
      </c>
      <c r="D15" s="2" t="s">
        <v>12</v>
      </c>
      <c r="E15" s="2">
        <v>10</v>
      </c>
      <c r="F15" s="3">
        <v>496</v>
      </c>
      <c r="G15" s="7">
        <v>4960</v>
      </c>
    </row>
    <row r="16" spans="1:7" x14ac:dyDescent="0.25">
      <c r="A16" s="6">
        <v>45804</v>
      </c>
      <c r="B16" s="2" t="s">
        <v>7</v>
      </c>
      <c r="C16" s="2" t="s">
        <v>8</v>
      </c>
      <c r="D16" s="2" t="s">
        <v>12</v>
      </c>
      <c r="E16" s="2">
        <v>5</v>
      </c>
      <c r="F16" s="3">
        <v>363</v>
      </c>
      <c r="G16" s="7">
        <v>1815</v>
      </c>
    </row>
    <row r="17" spans="1:7" x14ac:dyDescent="0.25">
      <c r="A17" s="6">
        <v>45670</v>
      </c>
      <c r="B17" s="2" t="s">
        <v>10</v>
      </c>
      <c r="C17" s="2" t="s">
        <v>18</v>
      </c>
      <c r="D17" s="2" t="s">
        <v>9</v>
      </c>
      <c r="E17" s="2">
        <v>8</v>
      </c>
      <c r="F17" s="3">
        <v>781</v>
      </c>
      <c r="G17" s="7">
        <v>6248</v>
      </c>
    </row>
    <row r="18" spans="1:7" x14ac:dyDescent="0.25">
      <c r="A18" s="6">
        <v>45752</v>
      </c>
      <c r="B18" s="2" t="s">
        <v>7</v>
      </c>
      <c r="C18" s="2" t="s">
        <v>18</v>
      </c>
      <c r="D18" s="2" t="s">
        <v>17</v>
      </c>
      <c r="E18" s="2">
        <v>7</v>
      </c>
      <c r="F18" s="3">
        <v>500</v>
      </c>
      <c r="G18" s="7">
        <v>3500</v>
      </c>
    </row>
    <row r="19" spans="1:7" x14ac:dyDescent="0.25">
      <c r="A19" s="6">
        <v>45690</v>
      </c>
      <c r="B19" s="2" t="s">
        <v>14</v>
      </c>
      <c r="C19" s="2" t="s">
        <v>8</v>
      </c>
      <c r="D19" s="2" t="s">
        <v>17</v>
      </c>
      <c r="E19" s="2">
        <v>4</v>
      </c>
      <c r="F19" s="3">
        <v>702</v>
      </c>
      <c r="G19" s="7">
        <v>2808</v>
      </c>
    </row>
    <row r="20" spans="1:7" x14ac:dyDescent="0.25">
      <c r="A20" s="6">
        <v>45720</v>
      </c>
      <c r="B20" s="2" t="s">
        <v>7</v>
      </c>
      <c r="C20" s="2" t="s">
        <v>8</v>
      </c>
      <c r="D20" s="2" t="s">
        <v>13</v>
      </c>
      <c r="E20" s="2">
        <v>2</v>
      </c>
      <c r="F20" s="3">
        <v>641</v>
      </c>
      <c r="G20" s="7">
        <v>1282</v>
      </c>
    </row>
    <row r="21" spans="1:7" x14ac:dyDescent="0.25">
      <c r="A21" s="6">
        <v>45738</v>
      </c>
      <c r="B21" s="2" t="s">
        <v>10</v>
      </c>
      <c r="C21" s="2" t="s">
        <v>11</v>
      </c>
      <c r="D21" s="2" t="s">
        <v>13</v>
      </c>
      <c r="E21" s="2">
        <v>7</v>
      </c>
      <c r="F21" s="3">
        <v>526</v>
      </c>
      <c r="G21" s="7">
        <v>3682</v>
      </c>
    </row>
    <row r="22" spans="1:7" x14ac:dyDescent="0.25">
      <c r="A22" s="6">
        <v>45740</v>
      </c>
      <c r="B22" s="2" t="s">
        <v>14</v>
      </c>
      <c r="C22" s="2" t="s">
        <v>15</v>
      </c>
      <c r="D22" s="2" t="s">
        <v>17</v>
      </c>
      <c r="E22" s="2">
        <v>8</v>
      </c>
      <c r="F22" s="3">
        <v>285</v>
      </c>
      <c r="G22" s="7">
        <v>2280</v>
      </c>
    </row>
    <row r="23" spans="1:7" x14ac:dyDescent="0.25">
      <c r="A23" s="6">
        <v>45733</v>
      </c>
      <c r="B23" s="2" t="s">
        <v>7</v>
      </c>
      <c r="C23" s="2" t="s">
        <v>8</v>
      </c>
      <c r="D23" s="2" t="s">
        <v>17</v>
      </c>
      <c r="E23" s="2">
        <v>7</v>
      </c>
      <c r="F23" s="3">
        <v>818</v>
      </c>
      <c r="G23" s="7">
        <v>5726</v>
      </c>
    </row>
    <row r="24" spans="1:7" x14ac:dyDescent="0.25">
      <c r="A24" s="6">
        <v>45792</v>
      </c>
      <c r="B24" s="2" t="s">
        <v>14</v>
      </c>
      <c r="C24" s="2" t="s">
        <v>18</v>
      </c>
      <c r="D24" s="2" t="s">
        <v>13</v>
      </c>
      <c r="E24" s="2">
        <v>9</v>
      </c>
      <c r="F24" s="3">
        <v>732</v>
      </c>
      <c r="G24" s="7">
        <v>6588</v>
      </c>
    </row>
    <row r="25" spans="1:7" x14ac:dyDescent="0.25">
      <c r="A25" s="6">
        <v>45768</v>
      </c>
      <c r="B25" s="2" t="s">
        <v>16</v>
      </c>
      <c r="C25" s="2" t="s">
        <v>11</v>
      </c>
      <c r="D25" s="2" t="s">
        <v>17</v>
      </c>
      <c r="E25" s="2">
        <v>5</v>
      </c>
      <c r="F25" s="3">
        <v>472</v>
      </c>
      <c r="G25" s="7">
        <v>2360</v>
      </c>
    </row>
    <row r="26" spans="1:7" x14ac:dyDescent="0.25">
      <c r="A26" s="6">
        <v>45832</v>
      </c>
      <c r="B26" s="2" t="s">
        <v>16</v>
      </c>
      <c r="C26" s="2" t="s">
        <v>15</v>
      </c>
      <c r="D26" s="2" t="s">
        <v>13</v>
      </c>
      <c r="E26" s="2">
        <v>7</v>
      </c>
      <c r="F26" s="3">
        <v>182</v>
      </c>
      <c r="G26" s="7">
        <v>1274</v>
      </c>
    </row>
    <row r="27" spans="1:7" x14ac:dyDescent="0.25">
      <c r="A27" s="6">
        <v>45661</v>
      </c>
      <c r="B27" s="2" t="s">
        <v>16</v>
      </c>
      <c r="C27" s="2" t="s">
        <v>8</v>
      </c>
      <c r="D27" s="2" t="s">
        <v>17</v>
      </c>
      <c r="E27" s="2">
        <v>3</v>
      </c>
      <c r="F27" s="3">
        <v>278</v>
      </c>
      <c r="G27" s="7">
        <v>834</v>
      </c>
    </row>
    <row r="28" spans="1:7" x14ac:dyDescent="0.25">
      <c r="A28" s="6">
        <v>45700</v>
      </c>
      <c r="B28" s="2" t="s">
        <v>7</v>
      </c>
      <c r="C28" s="2" t="s">
        <v>11</v>
      </c>
      <c r="D28" s="2" t="s">
        <v>12</v>
      </c>
      <c r="E28" s="2">
        <v>2</v>
      </c>
      <c r="F28" s="3">
        <v>401</v>
      </c>
      <c r="G28" s="7">
        <v>802</v>
      </c>
    </row>
    <row r="29" spans="1:7" x14ac:dyDescent="0.25">
      <c r="A29" s="6">
        <v>45665</v>
      </c>
      <c r="B29" s="2" t="s">
        <v>16</v>
      </c>
      <c r="C29" s="2" t="s">
        <v>18</v>
      </c>
      <c r="D29" s="2" t="s">
        <v>9</v>
      </c>
      <c r="E29" s="2">
        <v>7</v>
      </c>
      <c r="F29" s="3">
        <v>336</v>
      </c>
      <c r="G29" s="7">
        <v>2352</v>
      </c>
    </row>
    <row r="30" spans="1:7" x14ac:dyDescent="0.25">
      <c r="A30" s="6">
        <v>45834</v>
      </c>
      <c r="B30" s="2" t="s">
        <v>16</v>
      </c>
      <c r="C30" s="2" t="s">
        <v>11</v>
      </c>
      <c r="D30" s="2" t="s">
        <v>17</v>
      </c>
      <c r="E30" s="2">
        <v>4</v>
      </c>
      <c r="F30" s="3">
        <v>416</v>
      </c>
      <c r="G30" s="7">
        <v>1664</v>
      </c>
    </row>
    <row r="31" spans="1:7" x14ac:dyDescent="0.25">
      <c r="A31" s="6">
        <v>45698</v>
      </c>
      <c r="B31" s="2" t="s">
        <v>16</v>
      </c>
      <c r="C31" s="2" t="s">
        <v>18</v>
      </c>
      <c r="D31" s="2" t="s">
        <v>12</v>
      </c>
      <c r="E31" s="2">
        <v>7</v>
      </c>
      <c r="F31" s="3">
        <v>783</v>
      </c>
      <c r="G31" s="7">
        <v>5481</v>
      </c>
    </row>
    <row r="32" spans="1:7" x14ac:dyDescent="0.25">
      <c r="A32" s="6">
        <v>45725</v>
      </c>
      <c r="B32" s="2" t="s">
        <v>7</v>
      </c>
      <c r="C32" s="2" t="s">
        <v>11</v>
      </c>
      <c r="D32" s="2" t="s">
        <v>17</v>
      </c>
      <c r="E32" s="2">
        <v>2</v>
      </c>
      <c r="F32" s="3">
        <v>887</v>
      </c>
      <c r="G32" s="7">
        <v>1774</v>
      </c>
    </row>
    <row r="33" spans="1:7" x14ac:dyDescent="0.25">
      <c r="A33" s="6">
        <v>45753</v>
      </c>
      <c r="B33" s="2" t="s">
        <v>7</v>
      </c>
      <c r="C33" s="2" t="s">
        <v>11</v>
      </c>
      <c r="D33" s="2" t="s">
        <v>17</v>
      </c>
      <c r="E33" s="2">
        <v>2</v>
      </c>
      <c r="F33" s="3">
        <v>205</v>
      </c>
      <c r="G33" s="7">
        <v>410</v>
      </c>
    </row>
    <row r="34" spans="1:7" x14ac:dyDescent="0.25">
      <c r="A34" s="6">
        <v>45819</v>
      </c>
      <c r="B34" s="2" t="s">
        <v>16</v>
      </c>
      <c r="C34" s="2" t="s">
        <v>18</v>
      </c>
      <c r="D34" s="2" t="s">
        <v>13</v>
      </c>
      <c r="E34" s="2">
        <v>5</v>
      </c>
      <c r="F34" s="3">
        <v>205</v>
      </c>
      <c r="G34" s="7">
        <v>1025</v>
      </c>
    </row>
    <row r="35" spans="1:7" x14ac:dyDescent="0.25">
      <c r="A35" s="6">
        <v>45712</v>
      </c>
      <c r="B35" s="2" t="s">
        <v>7</v>
      </c>
      <c r="C35" s="2" t="s">
        <v>15</v>
      </c>
      <c r="D35" s="2" t="s">
        <v>17</v>
      </c>
      <c r="E35" s="2">
        <v>2</v>
      </c>
      <c r="F35" s="3">
        <v>283</v>
      </c>
      <c r="G35" s="7">
        <v>566</v>
      </c>
    </row>
    <row r="36" spans="1:7" x14ac:dyDescent="0.25">
      <c r="A36" s="6">
        <v>45780</v>
      </c>
      <c r="B36" s="2" t="s">
        <v>14</v>
      </c>
      <c r="C36" s="2" t="s">
        <v>15</v>
      </c>
      <c r="D36" s="2" t="s">
        <v>12</v>
      </c>
      <c r="E36" s="2">
        <v>9</v>
      </c>
      <c r="F36" s="3">
        <v>681</v>
      </c>
      <c r="G36" s="7">
        <v>6129</v>
      </c>
    </row>
    <row r="37" spans="1:7" x14ac:dyDescent="0.25">
      <c r="A37" s="6">
        <v>45824</v>
      </c>
      <c r="B37" s="2" t="s">
        <v>16</v>
      </c>
      <c r="C37" s="2" t="s">
        <v>8</v>
      </c>
      <c r="D37" s="2" t="s">
        <v>9</v>
      </c>
      <c r="E37" s="2">
        <v>2</v>
      </c>
      <c r="F37" s="3">
        <v>359</v>
      </c>
      <c r="G37" s="7">
        <v>718</v>
      </c>
    </row>
    <row r="38" spans="1:7" x14ac:dyDescent="0.25">
      <c r="A38" s="6">
        <v>45735</v>
      </c>
      <c r="B38" s="2" t="s">
        <v>14</v>
      </c>
      <c r="C38" s="2" t="s">
        <v>15</v>
      </c>
      <c r="D38" s="2" t="s">
        <v>13</v>
      </c>
      <c r="E38" s="2">
        <v>6</v>
      </c>
      <c r="F38" s="3">
        <v>949</v>
      </c>
      <c r="G38" s="7">
        <v>5694</v>
      </c>
    </row>
    <row r="39" spans="1:7" x14ac:dyDescent="0.25">
      <c r="A39" s="6">
        <v>45737</v>
      </c>
      <c r="B39" s="2" t="s">
        <v>7</v>
      </c>
      <c r="C39" s="2" t="s">
        <v>11</v>
      </c>
      <c r="D39" s="2" t="s">
        <v>17</v>
      </c>
      <c r="E39" s="2">
        <v>6</v>
      </c>
      <c r="F39" s="3">
        <v>417</v>
      </c>
      <c r="G39" s="7">
        <v>2502</v>
      </c>
    </row>
    <row r="40" spans="1:7" x14ac:dyDescent="0.25">
      <c r="A40" s="6">
        <v>45801</v>
      </c>
      <c r="B40" s="2" t="s">
        <v>14</v>
      </c>
      <c r="C40" s="2" t="s">
        <v>18</v>
      </c>
      <c r="D40" s="2" t="s">
        <v>12</v>
      </c>
      <c r="E40" s="2">
        <v>8</v>
      </c>
      <c r="F40" s="3">
        <v>521</v>
      </c>
      <c r="G40" s="7">
        <v>4168</v>
      </c>
    </row>
    <row r="41" spans="1:7" x14ac:dyDescent="0.25">
      <c r="A41" s="6">
        <v>45772</v>
      </c>
      <c r="B41" s="2" t="s">
        <v>14</v>
      </c>
      <c r="C41" s="2" t="s">
        <v>8</v>
      </c>
      <c r="D41" s="2" t="s">
        <v>13</v>
      </c>
      <c r="E41" s="2">
        <v>2</v>
      </c>
      <c r="F41" s="3">
        <v>651</v>
      </c>
      <c r="G41" s="7">
        <v>1302</v>
      </c>
    </row>
    <row r="42" spans="1:7" x14ac:dyDescent="0.25">
      <c r="A42" s="6">
        <v>45811</v>
      </c>
      <c r="B42" s="2" t="s">
        <v>7</v>
      </c>
      <c r="C42" s="2" t="s">
        <v>15</v>
      </c>
      <c r="D42" s="2" t="s">
        <v>17</v>
      </c>
      <c r="E42" s="2">
        <v>7</v>
      </c>
      <c r="F42" s="3">
        <v>256</v>
      </c>
      <c r="G42" s="7">
        <v>1792</v>
      </c>
    </row>
    <row r="43" spans="1:7" x14ac:dyDescent="0.25">
      <c r="A43" s="6">
        <v>45658</v>
      </c>
      <c r="B43" s="2" t="s">
        <v>14</v>
      </c>
      <c r="C43" s="2" t="s">
        <v>15</v>
      </c>
      <c r="D43" s="2" t="s">
        <v>13</v>
      </c>
      <c r="E43" s="2">
        <v>2</v>
      </c>
      <c r="F43" s="3">
        <v>740</v>
      </c>
      <c r="G43" s="7">
        <v>1480</v>
      </c>
    </row>
    <row r="44" spans="1:7" x14ac:dyDescent="0.25">
      <c r="A44" s="6">
        <v>45671</v>
      </c>
      <c r="B44" s="2" t="s">
        <v>7</v>
      </c>
      <c r="C44" s="2" t="s">
        <v>11</v>
      </c>
      <c r="D44" s="2" t="s">
        <v>12</v>
      </c>
      <c r="E44" s="2">
        <v>8</v>
      </c>
      <c r="F44" s="3">
        <v>828</v>
      </c>
      <c r="G44" s="7">
        <v>6624</v>
      </c>
    </row>
    <row r="45" spans="1:7" x14ac:dyDescent="0.25">
      <c r="A45" s="6">
        <v>45793</v>
      </c>
      <c r="B45" s="2" t="s">
        <v>7</v>
      </c>
      <c r="C45" s="2" t="s">
        <v>18</v>
      </c>
      <c r="D45" s="2" t="s">
        <v>12</v>
      </c>
      <c r="E45" s="2">
        <v>5</v>
      </c>
      <c r="F45" s="3">
        <v>737</v>
      </c>
      <c r="G45" s="7">
        <v>3685</v>
      </c>
    </row>
    <row r="46" spans="1:7" x14ac:dyDescent="0.25">
      <c r="A46" s="6">
        <v>45682</v>
      </c>
      <c r="B46" s="2" t="s">
        <v>16</v>
      </c>
      <c r="C46" s="2" t="s">
        <v>18</v>
      </c>
      <c r="D46" s="2" t="s">
        <v>13</v>
      </c>
      <c r="E46" s="2">
        <v>5</v>
      </c>
      <c r="F46" s="3">
        <v>376</v>
      </c>
      <c r="G46" s="7">
        <v>1880</v>
      </c>
    </row>
    <row r="47" spans="1:7" x14ac:dyDescent="0.25">
      <c r="A47" s="6">
        <v>45676</v>
      </c>
      <c r="B47" s="2" t="s">
        <v>16</v>
      </c>
      <c r="C47" s="2" t="s">
        <v>11</v>
      </c>
      <c r="D47" s="2" t="s">
        <v>13</v>
      </c>
      <c r="E47" s="2">
        <v>8</v>
      </c>
      <c r="F47" s="3">
        <v>714</v>
      </c>
      <c r="G47" s="7">
        <v>5712</v>
      </c>
    </row>
    <row r="48" spans="1:7" x14ac:dyDescent="0.25">
      <c r="A48" s="6">
        <v>45700</v>
      </c>
      <c r="B48" s="2" t="s">
        <v>10</v>
      </c>
      <c r="C48" s="2" t="s">
        <v>18</v>
      </c>
      <c r="D48" s="2" t="s">
        <v>17</v>
      </c>
      <c r="E48" s="2">
        <v>6</v>
      </c>
      <c r="F48" s="3">
        <v>741</v>
      </c>
      <c r="G48" s="7">
        <v>4446</v>
      </c>
    </row>
    <row r="49" spans="1:7" x14ac:dyDescent="0.25">
      <c r="A49" s="6">
        <v>45762</v>
      </c>
      <c r="B49" s="2" t="s">
        <v>14</v>
      </c>
      <c r="C49" s="2" t="s">
        <v>18</v>
      </c>
      <c r="D49" s="2" t="s">
        <v>17</v>
      </c>
      <c r="E49" s="2">
        <v>6</v>
      </c>
      <c r="F49" s="3">
        <v>290</v>
      </c>
      <c r="G49" s="7">
        <v>1740</v>
      </c>
    </row>
    <row r="50" spans="1:7" x14ac:dyDescent="0.25">
      <c r="A50" s="6">
        <v>45799</v>
      </c>
      <c r="B50" s="2" t="s">
        <v>10</v>
      </c>
      <c r="C50" s="2" t="s">
        <v>8</v>
      </c>
      <c r="D50" s="2" t="s">
        <v>12</v>
      </c>
      <c r="E50" s="2">
        <v>3</v>
      </c>
      <c r="F50" s="3">
        <v>471</v>
      </c>
      <c r="G50" s="7">
        <v>1413</v>
      </c>
    </row>
    <row r="51" spans="1:7" x14ac:dyDescent="0.25">
      <c r="A51" s="8">
        <v>45772</v>
      </c>
      <c r="B51" s="9" t="s">
        <v>10</v>
      </c>
      <c r="C51" s="9" t="s">
        <v>11</v>
      </c>
      <c r="D51" s="9" t="s">
        <v>17</v>
      </c>
      <c r="E51" s="9">
        <v>8</v>
      </c>
      <c r="F51" s="10">
        <v>802</v>
      </c>
      <c r="G51" s="11">
        <v>6416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9"/>
  <sheetViews>
    <sheetView tabSelected="1" zoomScale="175" zoomScaleNormal="175" workbookViewId="0">
      <selection activeCell="A3" sqref="A3"/>
    </sheetView>
  </sheetViews>
  <sheetFormatPr defaultRowHeight="15" x14ac:dyDescent="0.25"/>
  <cols>
    <col min="1" max="1" width="11.42578125" customWidth="1"/>
    <col min="2" max="2" width="16.85546875" customWidth="1"/>
    <col min="3" max="3" width="16.85546875" bestFit="1" customWidth="1"/>
    <col min="4" max="4" width="14" bestFit="1" customWidth="1"/>
    <col min="5" max="5" width="16.85546875" customWidth="1"/>
    <col min="7" max="7" width="11.42578125" customWidth="1"/>
    <col min="8" max="8" width="17.42578125" customWidth="1"/>
    <col min="10" max="10" width="14" customWidth="1"/>
    <col min="11" max="11" width="18.42578125" customWidth="1"/>
  </cols>
  <sheetData>
    <row r="3" spans="1:11" x14ac:dyDescent="0.25">
      <c r="A3" s="17" t="s">
        <v>1</v>
      </c>
      <c r="B3" s="18" t="s">
        <v>20</v>
      </c>
    </row>
    <row r="4" spans="1:11" x14ac:dyDescent="0.25">
      <c r="A4" s="20" t="s">
        <v>14</v>
      </c>
      <c r="B4" s="21">
        <v>53422</v>
      </c>
    </row>
    <row r="5" spans="1:11" x14ac:dyDescent="0.25">
      <c r="A5" s="18" t="s">
        <v>7</v>
      </c>
      <c r="B5" s="19">
        <v>43147</v>
      </c>
      <c r="D5" s="17" t="s">
        <v>3</v>
      </c>
      <c r="E5" s="18" t="s">
        <v>20</v>
      </c>
      <c r="G5" s="17" t="s">
        <v>2</v>
      </c>
      <c r="H5" s="18" t="s">
        <v>20</v>
      </c>
      <c r="J5" s="17" t="s">
        <v>3</v>
      </c>
      <c r="K5" s="18" t="s">
        <v>25</v>
      </c>
    </row>
    <row r="6" spans="1:11" x14ac:dyDescent="0.25">
      <c r="A6" s="18" t="s">
        <v>16</v>
      </c>
      <c r="B6" s="19">
        <v>34440</v>
      </c>
      <c r="D6" s="20" t="s">
        <v>17</v>
      </c>
      <c r="E6" s="21">
        <v>55777</v>
      </c>
      <c r="G6" s="20" t="s">
        <v>18</v>
      </c>
      <c r="H6" s="21">
        <v>63557</v>
      </c>
      <c r="J6" s="20" t="s">
        <v>17</v>
      </c>
      <c r="K6" s="21">
        <v>19</v>
      </c>
    </row>
    <row r="7" spans="1:11" x14ac:dyDescent="0.25">
      <c r="A7" s="18" t="s">
        <v>10</v>
      </c>
      <c r="B7" s="19">
        <v>29695</v>
      </c>
      <c r="D7" s="18" t="s">
        <v>12</v>
      </c>
      <c r="E7" s="19">
        <v>43780</v>
      </c>
      <c r="G7" s="18" t="s">
        <v>11</v>
      </c>
      <c r="H7" s="19">
        <v>36906</v>
      </c>
      <c r="J7" s="18" t="s">
        <v>13</v>
      </c>
      <c r="K7" s="19">
        <v>13</v>
      </c>
    </row>
    <row r="8" spans="1:11" x14ac:dyDescent="0.25">
      <c r="A8" s="18" t="s">
        <v>19</v>
      </c>
      <c r="B8" s="19">
        <v>160704</v>
      </c>
      <c r="D8" s="18" t="s">
        <v>13</v>
      </c>
      <c r="E8" s="19">
        <v>38732</v>
      </c>
      <c r="G8" s="18" t="s">
        <v>15</v>
      </c>
      <c r="H8" s="19">
        <v>34872</v>
      </c>
      <c r="J8" s="18" t="s">
        <v>12</v>
      </c>
      <c r="K8" s="19">
        <v>11</v>
      </c>
    </row>
    <row r="9" spans="1:11" x14ac:dyDescent="0.25">
      <c r="D9" s="18" t="s">
        <v>9</v>
      </c>
      <c r="E9" s="19">
        <v>22415</v>
      </c>
      <c r="G9" s="18" t="s">
        <v>8</v>
      </c>
      <c r="H9" s="19">
        <v>25369</v>
      </c>
      <c r="J9" s="18" t="s">
        <v>9</v>
      </c>
      <c r="K9" s="19">
        <v>7</v>
      </c>
    </row>
    <row r="10" spans="1:11" x14ac:dyDescent="0.25">
      <c r="D10" s="18" t="s">
        <v>19</v>
      </c>
      <c r="E10" s="19">
        <v>160704</v>
      </c>
      <c r="G10" s="18" t="s">
        <v>19</v>
      </c>
      <c r="H10" s="19">
        <v>160704</v>
      </c>
      <c r="J10" s="18" t="s">
        <v>19</v>
      </c>
      <c r="K10" s="19">
        <v>50</v>
      </c>
    </row>
    <row r="11" spans="1:11" x14ac:dyDescent="0.25">
      <c r="A11" s="17" t="s">
        <v>26</v>
      </c>
      <c r="B11" s="18" t="s">
        <v>20</v>
      </c>
    </row>
    <row r="12" spans="1:11" x14ac:dyDescent="0.25">
      <c r="A12" s="20" t="s">
        <v>29</v>
      </c>
      <c r="B12" s="21">
        <v>42143</v>
      </c>
    </row>
    <row r="13" spans="1:11" x14ac:dyDescent="0.25">
      <c r="A13" s="18" t="s">
        <v>31</v>
      </c>
      <c r="B13" s="19">
        <v>30852</v>
      </c>
    </row>
    <row r="14" spans="1:11" x14ac:dyDescent="0.25">
      <c r="A14" s="18" t="s">
        <v>27</v>
      </c>
      <c r="B14" s="19">
        <v>30758</v>
      </c>
      <c r="G14" s="18"/>
      <c r="H14" s="18"/>
    </row>
    <row r="15" spans="1:11" x14ac:dyDescent="0.25">
      <c r="A15" s="18" t="s">
        <v>28</v>
      </c>
      <c r="B15" s="19">
        <v>24936</v>
      </c>
      <c r="G15" s="18"/>
      <c r="H15" s="19"/>
    </row>
    <row r="16" spans="1:11" x14ac:dyDescent="0.25">
      <c r="A16" s="18" t="s">
        <v>30</v>
      </c>
      <c r="B16" s="19">
        <v>24543</v>
      </c>
      <c r="G16" s="18"/>
      <c r="H16" s="19"/>
    </row>
    <row r="17" spans="1:8" x14ac:dyDescent="0.25">
      <c r="A17" s="18" t="s">
        <v>19</v>
      </c>
      <c r="B17" s="19">
        <v>153232</v>
      </c>
      <c r="G17" s="18"/>
      <c r="H17" s="19"/>
    </row>
    <row r="18" spans="1:8" x14ac:dyDescent="0.25">
      <c r="G18" s="18"/>
      <c r="H18" s="19"/>
    </row>
    <row r="19" spans="1:8" x14ac:dyDescent="0.25">
      <c r="G19" s="18"/>
      <c r="H19" s="19"/>
    </row>
  </sheetData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Dataset</vt:lpstr>
      <vt:lpstr>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2026-01-19T05:42:20Z</dcterms:created>
  <dcterms:modified xsi:type="dcterms:W3CDTF">2026-01-29T04:12:21Z</dcterms:modified>
</cp:coreProperties>
</file>