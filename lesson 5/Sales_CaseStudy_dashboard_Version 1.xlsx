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Documents\Ai.mL\Excel\Hypothisis_project\"/>
    </mc:Choice>
  </mc:AlternateContent>
  <bookViews>
    <workbookView xWindow="0" yWindow="0" windowWidth="28800" windowHeight="12300"/>
  </bookViews>
  <sheets>
    <sheet name="Dashboard" sheetId="5" r:id="rId1"/>
    <sheet name="Dataset" sheetId="1" r:id="rId2"/>
    <sheet name="Sheet2" sheetId="6" r:id="rId3"/>
    <sheet name="Sheet1" sheetId="4" r:id="rId4"/>
  </sheets>
  <definedNames>
    <definedName name="NativeTimeline_Date">#N/A</definedName>
    <definedName name="Slicer_Region">#N/A</definedName>
  </definedNames>
  <calcPr calcId="162913" calcMode="manual"/>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1" i="5" l="1"/>
  <c r="O11" i="5"/>
  <c r="E11" i="5"/>
</calcChain>
</file>

<file path=xl/sharedStrings.xml><?xml version="1.0" encoding="utf-8"?>
<sst xmlns="http://schemas.openxmlformats.org/spreadsheetml/2006/main" count="252" uniqueCount="27">
  <si>
    <t>Date</t>
  </si>
  <si>
    <t>Region</t>
  </si>
  <si>
    <t>Product</t>
  </si>
  <si>
    <t>Salesperson</t>
  </si>
  <si>
    <t>Units_Sold</t>
  </si>
  <si>
    <t>Unit_Price</t>
  </si>
  <si>
    <t>Total_Sale</t>
  </si>
  <si>
    <t>North</t>
  </si>
  <si>
    <t>Monitor</t>
  </si>
  <si>
    <t>Charlie</t>
  </si>
  <si>
    <t>South</t>
  </si>
  <si>
    <t>Laptop</t>
  </si>
  <si>
    <t>Diana</t>
  </si>
  <si>
    <t>Alice</t>
  </si>
  <si>
    <t>West</t>
  </si>
  <si>
    <t>Mobile</t>
  </si>
  <si>
    <t>East</t>
  </si>
  <si>
    <t>Bob</t>
  </si>
  <si>
    <t>Tablet</t>
  </si>
  <si>
    <t>Grand Total</t>
  </si>
  <si>
    <t>Sum of Total_Sale</t>
  </si>
  <si>
    <t>Count of Total_Sale</t>
  </si>
  <si>
    <t>Months</t>
  </si>
  <si>
    <t>product Wise sales data</t>
  </si>
  <si>
    <t>Best sales</t>
  </si>
  <si>
    <t>Best Region</t>
  </si>
  <si>
    <t>Best Region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</si>
</sst>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INR]\ #,##0.00;[Red][$INR]\ #,##0.00"/>
    <numFmt numFmtId="166" formatCode="&quot;₹&quot;\ #,##0.00;[Red]&quot;₹&quot;\ #,##0.00"/>
  </numFmts>
  <fonts count="8" x14ac:knownFonts="1">
    <font>
      <sz val="11"/>
      <color theme="1"/>
      <name val="Calibri"/>
      <family val="2"/>
      <scheme val="minor"/>
    </font>
    <font>
      <sz val="11"/>
      <color theme="0"/>
      <name val="Calibri"/>
      <family val="2"/>
      <scheme val="minor"/>
    </font>
    <font>
      <sz val="48"/>
      <color theme="0"/>
      <name val="Calibri"/>
      <family val="2"/>
      <scheme val="minor"/>
    </font>
    <font>
      <sz val="22"/>
      <color theme="1"/>
      <name val="Calibri"/>
      <family val="2"/>
      <scheme val="minor"/>
    </font>
    <font>
      <sz val="24"/>
      <color theme="1"/>
      <name val="Calibri"/>
      <family val="2"/>
      <scheme val="minor"/>
    </font>
    <font>
      <sz val="22"/>
      <color theme="5" tint="0.39997558519241921"/>
      <name val="Calibri"/>
      <family val="2"/>
      <scheme val="minor"/>
    </font>
    <font>
      <sz val="11"/>
      <color theme="5" tint="0.39997558519241921"/>
      <name val="Calibri"/>
      <family val="2"/>
      <scheme val="minor"/>
    </font>
    <font>
      <sz val="28"/>
      <color theme="1"/>
      <name val="Calibri"/>
      <family val="2"/>
      <scheme val="minor"/>
    </font>
  </fonts>
  <fills count="7">
    <fill>
      <patternFill patternType="none"/>
    </fill>
    <fill>
      <patternFill patternType="gray125"/>
    </fill>
    <fill>
      <patternFill patternType="solid">
        <fgColor theme="3"/>
        <bgColor indexed="64"/>
      </patternFill>
    </fill>
    <fill>
      <patternFill patternType="solid">
        <fgColor theme="7"/>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2" tint="-0.74999237037263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1">
    <xf numFmtId="0" fontId="0" fillId="0" borderId="0"/>
  </cellStyleXfs>
  <cellXfs count="48">
    <xf numFmtId="0" fontId="0" fillId="0" borderId="0" xfId="0"/>
    <xf numFmtId="0" fontId="0" fillId="0" borderId="0" xfId="0"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64" fontId="0" fillId="0" borderId="2" xfId="0" applyNumberFormat="1" applyBorder="1" applyAlignment="1">
      <alignment horizontal="center"/>
    </xf>
    <xf numFmtId="166" fontId="0" fillId="0" borderId="3" xfId="0" applyNumberFormat="1" applyBorder="1" applyAlignment="1">
      <alignment horizontal="center"/>
    </xf>
    <xf numFmtId="164" fontId="0" fillId="0" borderId="7" xfId="0" applyNumberFormat="1" applyBorder="1" applyAlignment="1">
      <alignment horizontal="center"/>
    </xf>
    <xf numFmtId="0" fontId="0" fillId="0" borderId="8" xfId="0" applyBorder="1" applyAlignment="1">
      <alignment horizontal="center"/>
    </xf>
    <xf numFmtId="165" fontId="0" fillId="0" borderId="8" xfId="0" applyNumberFormat="1" applyBorder="1" applyAlignment="1">
      <alignment horizontal="center"/>
    </xf>
    <xf numFmtId="166" fontId="0" fillId="0" borderId="9" xfId="0" applyNumberFormat="1" applyBorder="1" applyAlignment="1">
      <alignment horizontal="center"/>
    </xf>
    <xf numFmtId="14" fontId="1" fillId="2" borderId="4" xfId="0" applyNumberFormat="1" applyFont="1" applyFill="1" applyBorder="1" applyAlignment="1">
      <alignment horizontal="center"/>
    </xf>
    <xf numFmtId="0" fontId="1" fillId="2" borderId="5" xfId="0" applyFont="1" applyFill="1" applyBorder="1" applyAlignment="1">
      <alignment horizontal="center"/>
    </xf>
    <xf numFmtId="2" fontId="1" fillId="2" borderId="5" xfId="0" applyNumberFormat="1" applyFont="1" applyFill="1" applyBorder="1" applyAlignment="1">
      <alignment horizontal="center"/>
    </xf>
    <xf numFmtId="165" fontId="1" fillId="2" borderId="5" xfId="0" applyNumberFormat="1" applyFont="1" applyFill="1" applyBorder="1" applyAlignment="1">
      <alignment horizontal="center"/>
    </xf>
    <xf numFmtId="166" fontId="1" fillId="2" borderId="6" xfId="0" applyNumberFormat="1" applyFont="1" applyFill="1" applyBorder="1" applyAlignment="1">
      <alignment horizontal="center"/>
    </xf>
    <xf numFmtId="0" fontId="0" fillId="0" borderId="1" xfId="0" pivotButton="1" applyBorder="1"/>
    <xf numFmtId="0" fontId="0" fillId="0" borderId="1" xfId="0" applyBorder="1"/>
    <xf numFmtId="0" fontId="0" fillId="0" borderId="1" xfId="0" applyNumberFormat="1" applyBorder="1"/>
    <xf numFmtId="0" fontId="0" fillId="3" borderId="1" xfId="0" applyFill="1" applyBorder="1"/>
    <xf numFmtId="0" fontId="0" fillId="3" borderId="1" xfId="0" applyNumberFormat="1" applyFill="1" applyBorder="1"/>
    <xf numFmtId="0" fontId="0" fillId="6" borderId="0" xfId="0" applyFill="1" applyBorder="1"/>
    <xf numFmtId="0" fontId="0" fillId="5" borderId="0" xfId="0" applyFill="1" applyBorder="1"/>
    <xf numFmtId="14" fontId="0" fillId="0" borderId="0" xfId="0" applyNumberFormat="1"/>
    <xf numFmtId="0" fontId="2" fillId="6" borderId="0" xfId="0" applyFont="1" applyFill="1" applyBorder="1" applyAlignment="1">
      <alignment horizontal="center"/>
    </xf>
    <xf numFmtId="0" fontId="0" fillId="6" borderId="0" xfId="0" applyFill="1" applyBorder="1" applyAlignment="1">
      <alignment horizontal="center"/>
    </xf>
    <xf numFmtId="0" fontId="5" fillId="6" borderId="0" xfId="0" applyFont="1" applyFill="1" applyBorder="1" applyAlignment="1">
      <alignment horizontal="center"/>
    </xf>
    <xf numFmtId="0" fontId="6" fillId="6" borderId="0" xfId="0" applyFont="1" applyFill="1" applyBorder="1" applyAlignment="1">
      <alignment horizontal="center"/>
    </xf>
    <xf numFmtId="0" fontId="7" fillId="5" borderId="11" xfId="0" applyFont="1" applyFill="1" applyBorder="1" applyAlignment="1">
      <alignment horizontal="center"/>
    </xf>
    <xf numFmtId="0" fontId="7" fillId="5" borderId="0" xfId="0" applyFont="1" applyFill="1" applyBorder="1" applyAlignment="1">
      <alignment horizontal="center"/>
    </xf>
    <xf numFmtId="0" fontId="7" fillId="5" borderId="12" xfId="0" applyFont="1" applyFill="1" applyBorder="1" applyAlignment="1">
      <alignment horizontal="center"/>
    </xf>
    <xf numFmtId="0" fontId="7" fillId="5" borderId="6" xfId="0" applyFont="1" applyFill="1" applyBorder="1" applyAlignment="1">
      <alignment horizontal="center"/>
    </xf>
    <xf numFmtId="0" fontId="7" fillId="5" borderId="13" xfId="0" applyFont="1" applyFill="1" applyBorder="1" applyAlignment="1">
      <alignment horizontal="center"/>
    </xf>
    <xf numFmtId="0" fontId="7" fillId="5" borderId="4" xfId="0" applyFont="1" applyFill="1" applyBorder="1" applyAlignment="1">
      <alignment horizontal="center"/>
    </xf>
    <xf numFmtId="0" fontId="3" fillId="5" borderId="9" xfId="0" applyFont="1" applyFill="1" applyBorder="1" applyAlignment="1">
      <alignment horizontal="center"/>
    </xf>
    <xf numFmtId="0" fontId="3" fillId="5" borderId="10" xfId="0" applyFont="1" applyFill="1" applyBorder="1" applyAlignment="1">
      <alignment horizontal="center"/>
    </xf>
    <xf numFmtId="0" fontId="3" fillId="5" borderId="7" xfId="0" applyFont="1" applyFill="1" applyBorder="1" applyAlignment="1">
      <alignment horizontal="center"/>
    </xf>
    <xf numFmtId="0" fontId="3" fillId="5" borderId="6" xfId="0" applyFont="1" applyFill="1" applyBorder="1" applyAlignment="1">
      <alignment horizontal="center"/>
    </xf>
    <xf numFmtId="0" fontId="3" fillId="5" borderId="13" xfId="0" applyFont="1" applyFill="1" applyBorder="1" applyAlignment="1">
      <alignment horizontal="center"/>
    </xf>
    <xf numFmtId="0" fontId="3" fillId="5" borderId="4" xfId="0" applyFont="1" applyFill="1" applyBorder="1" applyAlignment="1">
      <alignment horizontal="center"/>
    </xf>
    <xf numFmtId="0" fontId="4" fillId="5" borderId="9" xfId="0" applyFont="1" applyFill="1" applyBorder="1" applyAlignment="1">
      <alignment horizontal="center"/>
    </xf>
    <xf numFmtId="0" fontId="4" fillId="5" borderId="10" xfId="0" applyFont="1" applyFill="1" applyBorder="1" applyAlignment="1">
      <alignment horizontal="center"/>
    </xf>
    <xf numFmtId="0" fontId="4" fillId="5" borderId="7" xfId="0" applyFont="1" applyFill="1" applyBorder="1" applyAlignment="1">
      <alignment horizontal="center"/>
    </xf>
    <xf numFmtId="0" fontId="4" fillId="5" borderId="6" xfId="0" applyFont="1" applyFill="1" applyBorder="1" applyAlignment="1">
      <alignment horizontal="center"/>
    </xf>
    <xf numFmtId="0" fontId="4" fillId="5" borderId="13" xfId="0" applyFont="1" applyFill="1" applyBorder="1" applyAlignment="1">
      <alignment horizontal="center"/>
    </xf>
    <xf numFmtId="0" fontId="4" fillId="5" borderId="4" xfId="0" applyFont="1" applyFill="1" applyBorder="1" applyAlignment="1">
      <alignment horizontal="center"/>
    </xf>
    <xf numFmtId="0" fontId="0" fillId="4" borderId="0" xfId="0" applyFill="1" applyAlignment="1">
      <alignment horizontal="center"/>
    </xf>
  </cellXfs>
  <cellStyles count="1">
    <cellStyle name="Normal" xfId="0" builtinId="0"/>
  </cellStyles>
  <dxfs count="53">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dxf>
    <dxf>
      <numFmt numFmtId="166" formatCode="&quot;₹&quot;\ #,##0.00;[Red]&quot;₹&quot;\ #,##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INR]\ #,##0.00;[Red][$INR]\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yyyy\-mm\-dd"/>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strike val="0"/>
        <outline val="0"/>
        <shadow val="0"/>
        <u val="none"/>
        <vertAlign val="baseline"/>
        <sz val="11"/>
        <color theme="0"/>
        <name val="Calibri"/>
        <scheme val="minor"/>
      </font>
      <fill>
        <patternFill patternType="solid">
          <fgColor indexed="64"/>
          <bgColor them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[Sales_CaseStudy_dashboard_Version 1.xlsx]Sheet1!product Vs totalSales</c:name>
    <c:fmtId val="2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pPr>
            <a:solidFill>
              <a:schemeClr val="accent1"/>
            </a:solidFill>
            <a:ln w="22225">
              <a:solidFill>
                <a:schemeClr val="lt1"/>
              </a:solidFill>
              <a:round/>
            </a:ln>
            <a:effectLst/>
          </c:spPr>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a:noFill/>
          </a:ln>
          <a:effectLst/>
        </c:spPr>
        <c:marker>
          <c:symbol val="none"/>
        </c:marker>
        <c:dLbl>
          <c:idx val="0"/>
          <c:layout/>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Sheet1!$B$4</c:f>
              <c:strCache>
                <c:ptCount val="1"/>
                <c:pt idx="0">
                  <c:v>Total</c:v>
                </c:pt>
              </c:strCache>
            </c:strRef>
          </c:tx>
          <c:spPr>
            <a:pattFill prst="ltUpDiag">
              <a:fgClr>
                <a:schemeClr val="accent1"/>
              </a:fgClr>
              <a:bgClr>
                <a:schemeClr val="lt1"/>
              </a:bgClr>
            </a:pattFill>
            <a:ln>
              <a:noFill/>
            </a:ln>
            <a:effectLst/>
          </c:spPr>
          <c:invertIfNegative val="0"/>
          <c:dLbls>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Sheet1!$A$5:$A$9</c:f>
              <c:strCache>
                <c:ptCount val="4"/>
                <c:pt idx="0">
                  <c:v>Tablet</c:v>
                </c:pt>
                <c:pt idx="1">
                  <c:v>Laptop</c:v>
                </c:pt>
                <c:pt idx="2">
                  <c:v>Mobile</c:v>
                </c:pt>
                <c:pt idx="3">
                  <c:v>Monitor</c:v>
                </c:pt>
              </c:strCache>
            </c:strRef>
          </c:cat>
          <c:val>
            <c:numRef>
              <c:f>Sheet1!$B$5:$B$9</c:f>
              <c:numCache>
                <c:formatCode>General</c:formatCode>
                <c:ptCount val="4"/>
                <c:pt idx="0">
                  <c:v>63557</c:v>
                </c:pt>
                <c:pt idx="1">
                  <c:v>36906</c:v>
                </c:pt>
                <c:pt idx="2">
                  <c:v>34872</c:v>
                </c:pt>
                <c:pt idx="3">
                  <c:v>25369</c:v>
                </c:pt>
              </c:numCache>
            </c:numRef>
          </c:val>
          <c:extLst>
            <c:ext xmlns:c16="http://schemas.microsoft.com/office/drawing/2014/chart" uri="{C3380CC4-5D6E-409C-BE32-E72D297353CC}">
              <c16:uniqueId val="{00000000-23EF-49B1-9CD3-8B41EE3B29C1}"/>
            </c:ext>
          </c:extLst>
        </c:ser>
        <c:dLbls>
          <c:dLblPos val="outEnd"/>
          <c:showLegendKey val="0"/>
          <c:showVal val="1"/>
          <c:showCatName val="0"/>
          <c:showSerName val="0"/>
          <c:showPercent val="0"/>
          <c:showBubbleSize val="0"/>
        </c:dLbls>
        <c:gapWidth val="269"/>
        <c:overlap val="-20"/>
        <c:axId val="210872575"/>
        <c:axId val="143801663"/>
      </c:barChart>
      <c:catAx>
        <c:axId val="21087257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3801663"/>
        <c:crosses val="autoZero"/>
        <c:auto val="1"/>
        <c:lblAlgn val="ctr"/>
        <c:lblOffset val="100"/>
        <c:noMultiLvlLbl val="0"/>
      </c:catAx>
      <c:valAx>
        <c:axId val="1438016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087257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[Sales_CaseStudy_dashboard_Version 1.xlsx]Sheet1!PivotTable2</c:name>
    <c:fmtId val="45"/>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Sheet1!$E$2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C1AD-4C8D-96DB-2FBB372D658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3-C1AD-4C8D-96DB-2FBB372D658B}"/>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5-C1AD-4C8D-96DB-2FBB372D658B}"/>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7-C1AD-4C8D-96DB-2FBB372D65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Sheet1!$D$3:$D$7</c:f>
              <c:strCache>
                <c:ptCount val="4"/>
                <c:pt idx="0">
                  <c:v>Bob</c:v>
                </c:pt>
                <c:pt idx="1">
                  <c:v>Diana</c:v>
                </c:pt>
                <c:pt idx="2">
                  <c:v>Alice</c:v>
                </c:pt>
                <c:pt idx="3">
                  <c:v>Charlie</c:v>
                </c:pt>
              </c:strCache>
            </c:strRef>
          </c:cat>
          <c:val>
            <c:numRef>
              <c:f>Sheet1!$E$3:$E$7</c:f>
              <c:numCache>
                <c:formatCode>General</c:formatCode>
                <c:ptCount val="4"/>
                <c:pt idx="0">
                  <c:v>55777</c:v>
                </c:pt>
                <c:pt idx="1">
                  <c:v>43780</c:v>
                </c:pt>
                <c:pt idx="2">
                  <c:v>38732</c:v>
                </c:pt>
                <c:pt idx="3">
                  <c:v>22415</c:v>
                </c:pt>
              </c:numCache>
            </c:numRef>
          </c:val>
          <c:extLst>
            <c:ext xmlns:c16="http://schemas.microsoft.com/office/drawing/2014/chart" uri="{C3380CC4-5D6E-409C-BE32-E72D297353CC}">
              <c16:uniqueId val="{00000008-C1AD-4C8D-96DB-2FBB372D658B}"/>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[Sales_CaseStudy_dashboard_Version 1.xlsx]Sheet1!PivotTable3</c:name>
    <c:fmtId val="13"/>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Sheet1!$H$2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Sheet1!$G$3:$G$4</c:f>
              <c:strCache>
                <c:ptCount val="1"/>
                <c:pt idx="0">
                  <c:v>West</c:v>
                </c:pt>
              </c:strCache>
            </c:strRef>
          </c:cat>
          <c:val>
            <c:numRef>
              <c:f>Sheet1!$H$3:$H$4</c:f>
              <c:numCache>
                <c:formatCode>General</c:formatCode>
                <c:ptCount val="1"/>
                <c:pt idx="0">
                  <c:v>53422</c:v>
                </c:pt>
              </c:numCache>
            </c:numRef>
          </c:val>
          <c:extLst>
            <c:ext xmlns:c16="http://schemas.microsoft.com/office/drawing/2014/chart" uri="{C3380CC4-5D6E-409C-BE32-E72D297353CC}">
              <c16:uniqueId val="{00000000-CB34-41D8-AD4E-F06604056A1C}"/>
            </c:ext>
          </c:extLst>
        </c:ser>
        <c:dLbls>
          <c:dLblPos val="ctr"/>
          <c:showLegendKey val="0"/>
          <c:showVal val="1"/>
          <c:showCatName val="0"/>
          <c:showSerName val="0"/>
          <c:showPercent val="0"/>
          <c:showBubbleSize val="0"/>
        </c:dLbls>
        <c:gapWidth val="150"/>
        <c:overlap val="100"/>
        <c:axId val="211311839"/>
        <c:axId val="211308511"/>
      </c:barChart>
      <c:catAx>
        <c:axId val="2113118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308511"/>
        <c:crosses val="autoZero"/>
        <c:auto val="1"/>
        <c:lblAlgn val="ctr"/>
        <c:lblOffset val="100"/>
        <c:noMultiLvlLbl val="0"/>
      </c:catAx>
      <c:valAx>
        <c:axId val="211308511"/>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1311839"/>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[Sales_CaseStudy_dashboard_Version 1.xlsx]Sheet1!product Vs totalSales</c:name>
    <c:fmtId val="23"/>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pPr>
            <a:solidFill>
              <a:schemeClr val="accent1"/>
            </a:solidFill>
            <a:ln w="22225">
              <a:solidFill>
                <a:schemeClr val="lt1"/>
              </a:solidFill>
              <a:round/>
            </a:ln>
            <a:effectLst/>
          </c:spPr>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pivotFmt>
      <c:pivotFmt>
        <c:idx val="5"/>
        <c:spPr>
          <a:pattFill prst="ltUpDiag">
            <a:fgClr>
              <a:schemeClr val="accent1"/>
            </a:fgClr>
            <a:bgClr>
              <a:schemeClr val="lt1"/>
            </a:bgClr>
          </a:pattFill>
          <a:ln>
            <a:noFill/>
          </a:ln>
          <a:effectLst/>
        </c:spPr>
        <c:marker>
          <c:symbol val="none"/>
        </c:marker>
      </c:pivotFmt>
    </c:pivotFmts>
    <c:plotArea>
      <c:layout/>
      <c:barChart>
        <c:barDir val="col"/>
        <c:grouping val="clustered"/>
        <c:varyColors val="0"/>
        <c:ser>
          <c:idx val="0"/>
          <c:order val="0"/>
          <c:tx>
            <c:strRef>
              <c:f>Sheet1!$B$4</c:f>
              <c:strCache>
                <c:ptCount val="1"/>
                <c:pt idx="0">
                  <c:v>Total</c:v>
                </c:pt>
              </c:strCache>
            </c:strRef>
          </c:tx>
          <c:spPr>
            <a:pattFill prst="ltUpDiag">
              <a:fgClr>
                <a:schemeClr val="accent1"/>
              </a:fgClr>
              <a:bgClr>
                <a:schemeClr val="lt1"/>
              </a:bgClr>
            </a:pattFill>
            <a:ln>
              <a:noFill/>
            </a:ln>
            <a:effectLst/>
          </c:spPr>
          <c:invertIfNegative val="0"/>
          <c:dLbls>
            <c:delete val="1"/>
          </c:dLbls>
          <c:cat>
            <c:strRef>
              <c:f>Sheet1!$A$5:$A$9</c:f>
              <c:strCache>
                <c:ptCount val="4"/>
                <c:pt idx="0">
                  <c:v>Tablet</c:v>
                </c:pt>
                <c:pt idx="1">
                  <c:v>Laptop</c:v>
                </c:pt>
                <c:pt idx="2">
                  <c:v>Mobile</c:v>
                </c:pt>
                <c:pt idx="3">
                  <c:v>Monitor</c:v>
                </c:pt>
              </c:strCache>
            </c:strRef>
          </c:cat>
          <c:val>
            <c:numRef>
              <c:f>Sheet1!$B$5:$B$9</c:f>
              <c:numCache>
                <c:formatCode>General</c:formatCode>
                <c:ptCount val="4"/>
                <c:pt idx="0">
                  <c:v>63557</c:v>
                </c:pt>
                <c:pt idx="1">
                  <c:v>36906</c:v>
                </c:pt>
                <c:pt idx="2">
                  <c:v>34872</c:v>
                </c:pt>
                <c:pt idx="3">
                  <c:v>25369</c:v>
                </c:pt>
              </c:numCache>
            </c:numRef>
          </c:val>
          <c:extLst>
            <c:ext xmlns:c16="http://schemas.microsoft.com/office/drawing/2014/chart" uri="{C3380CC4-5D6E-409C-BE32-E72D297353CC}">
              <c16:uniqueId val="{00000000-41FA-4A8F-B05B-4E51581E51F1}"/>
            </c:ext>
          </c:extLst>
        </c:ser>
        <c:dLbls>
          <c:dLblPos val="outEnd"/>
          <c:showLegendKey val="0"/>
          <c:showVal val="1"/>
          <c:showCatName val="0"/>
          <c:showSerName val="0"/>
          <c:showPercent val="0"/>
          <c:showBubbleSize val="0"/>
        </c:dLbls>
        <c:gapWidth val="269"/>
        <c:overlap val="-20"/>
        <c:axId val="210872575"/>
        <c:axId val="143801663"/>
      </c:barChart>
      <c:catAx>
        <c:axId val="21087257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3801663"/>
        <c:crosses val="autoZero"/>
        <c:auto val="1"/>
        <c:lblAlgn val="ctr"/>
        <c:lblOffset val="100"/>
        <c:noMultiLvlLbl val="0"/>
      </c:catAx>
      <c:valAx>
        <c:axId val="1438016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087257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[Sales_CaseStudy_dashboard_Version 1.xlsx]Sheet1!PivotTable2</c:name>
    <c:fmtId val="36"/>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Sheet1!$E$2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522C-4731-A8AB-DAB7DD05E297}"/>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3-522C-4731-A8AB-DAB7DD05E297}"/>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5-522C-4731-A8AB-DAB7DD05E297}"/>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7-522C-4731-A8AB-DAB7DD05E297}"/>
              </c:ext>
            </c:extLst>
          </c:dPt>
          <c:dLbls>
            <c:delete val="1"/>
          </c:dLbls>
          <c:cat>
            <c:strRef>
              <c:f>Sheet1!$D$3:$D$7</c:f>
              <c:strCache>
                <c:ptCount val="4"/>
                <c:pt idx="0">
                  <c:v>Bob</c:v>
                </c:pt>
                <c:pt idx="1">
                  <c:v>Diana</c:v>
                </c:pt>
                <c:pt idx="2">
                  <c:v>Alice</c:v>
                </c:pt>
                <c:pt idx="3">
                  <c:v>Charlie</c:v>
                </c:pt>
              </c:strCache>
            </c:strRef>
          </c:cat>
          <c:val>
            <c:numRef>
              <c:f>Sheet1!$E$3:$E$7</c:f>
              <c:numCache>
                <c:formatCode>General</c:formatCode>
                <c:ptCount val="4"/>
                <c:pt idx="0">
                  <c:v>55777</c:v>
                </c:pt>
                <c:pt idx="1">
                  <c:v>43780</c:v>
                </c:pt>
                <c:pt idx="2">
                  <c:v>38732</c:v>
                </c:pt>
                <c:pt idx="3">
                  <c:v>22415</c:v>
                </c:pt>
              </c:numCache>
            </c:numRef>
          </c:val>
          <c:extLst>
            <c:ext xmlns:c16="http://schemas.microsoft.com/office/drawing/2014/chart" uri="{C3380CC4-5D6E-409C-BE32-E72D297353CC}">
              <c16:uniqueId val="{00000000-11C1-4A3F-9111-D58ADFDFCFD5}"/>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[Sales_CaseStudy_dashboard_Version 1.xlsx]Sheet1!PivotTable3</c:name>
    <c:fmtId val="10"/>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Sheet1!$H$2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Sheet1!$G$3:$G$4</c:f>
              <c:strCache>
                <c:ptCount val="1"/>
                <c:pt idx="0">
                  <c:v>West</c:v>
                </c:pt>
              </c:strCache>
            </c:strRef>
          </c:cat>
          <c:val>
            <c:numRef>
              <c:f>Sheet1!$H$3:$H$4</c:f>
              <c:numCache>
                <c:formatCode>General</c:formatCode>
                <c:ptCount val="1"/>
                <c:pt idx="0">
                  <c:v>53422</c:v>
                </c:pt>
              </c:numCache>
            </c:numRef>
          </c:val>
          <c:extLst>
            <c:ext xmlns:c16="http://schemas.microsoft.com/office/drawing/2014/chart" uri="{C3380CC4-5D6E-409C-BE32-E72D297353CC}">
              <c16:uniqueId val="{00000000-0A44-444B-B55E-2410A4B3763E}"/>
            </c:ext>
          </c:extLst>
        </c:ser>
        <c:dLbls>
          <c:dLblPos val="ctr"/>
          <c:showLegendKey val="0"/>
          <c:showVal val="1"/>
          <c:showCatName val="0"/>
          <c:showSerName val="0"/>
          <c:showPercent val="0"/>
          <c:showBubbleSize val="0"/>
        </c:dLbls>
        <c:gapWidth val="150"/>
        <c:overlap val="100"/>
        <c:axId val="211311839"/>
        <c:axId val="211308511"/>
      </c:barChart>
      <c:catAx>
        <c:axId val="2113118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308511"/>
        <c:crosses val="autoZero"/>
        <c:auto val="1"/>
        <c:lblAlgn val="ctr"/>
        <c:lblOffset val="100"/>
        <c:noMultiLvlLbl val="0"/>
      </c:catAx>
      <c:valAx>
        <c:axId val="211308511"/>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1311839"/>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9524</xdr:colOff>
      <xdr:row>12</xdr:row>
      <xdr:rowOff>142875</xdr:rowOff>
    </xdr:from>
    <xdr:to>
      <xdr:col>11</xdr:col>
      <xdr:colOff>134471</xdr:colOff>
      <xdr:row>24</xdr:row>
      <xdr:rowOff>180975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280147</xdr:colOff>
      <xdr:row>12</xdr:row>
      <xdr:rowOff>137834</xdr:rowOff>
    </xdr:from>
    <xdr:to>
      <xdr:col>18</xdr:col>
      <xdr:colOff>9526</xdr:colOff>
      <xdr:row>24</xdr:row>
      <xdr:rowOff>156884</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19048</xdr:colOff>
      <xdr:row>25</xdr:row>
      <xdr:rowOff>152400</xdr:rowOff>
    </xdr:from>
    <xdr:to>
      <xdr:col>18</xdr:col>
      <xdr:colOff>44823</xdr:colOff>
      <xdr:row>37</xdr:row>
      <xdr:rowOff>171450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10</xdr:row>
      <xdr:rowOff>66676</xdr:rowOff>
    </xdr:from>
    <xdr:to>
      <xdr:col>2</xdr:col>
      <xdr:colOff>523875</xdr:colOff>
      <xdr:row>18</xdr:row>
      <xdr:rowOff>57150</xdr:rowOff>
    </xdr:to>
    <mc:AlternateContent xmlns:mc="http://schemas.openxmlformats.org/markup-compatibility/2006" xmlns:a14="http://schemas.microsoft.com/office/drawing/2010/main">
      <mc:Choice Requires="a14">
        <xdr:graphicFrame macro="">
          <xdr:nvGraphicFramePr>
            <xdr:cNvPr id="19"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8575" y="1971676"/>
              <a:ext cx="1714500" cy="1514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38101</xdr:colOff>
      <xdr:row>18</xdr:row>
      <xdr:rowOff>190499</xdr:rowOff>
    </xdr:from>
    <xdr:to>
      <xdr:col>2</xdr:col>
      <xdr:colOff>504825</xdr:colOff>
      <xdr:row>25</xdr:row>
      <xdr:rowOff>133350</xdr:rowOff>
    </xdr:to>
    <mc:AlternateContent xmlns:mc="http://schemas.openxmlformats.org/markup-compatibility/2006" xmlns:tsle="http://schemas.microsoft.com/office/drawing/2012/timeslicer">
      <mc:Choice Requires="tsle">
        <xdr:graphicFrame macro="">
          <xdr:nvGraphicFramePr>
            <xdr:cNvPr id="20"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8101" y="3619499"/>
              <a:ext cx="1685924" cy="1276351"/>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oneCellAnchor>
    <xdr:from>
      <xdr:col>11</xdr:col>
      <xdr:colOff>560993</xdr:colOff>
      <xdr:row>1</xdr:row>
      <xdr:rowOff>7435</xdr:rowOff>
    </xdr:from>
    <xdr:ext cx="3164264" cy="937629"/>
    <xdr:sp macro="" textlink="">
      <xdr:nvSpPr>
        <xdr:cNvPr id="22" name="Rectangle 21"/>
        <xdr:cNvSpPr/>
      </xdr:nvSpPr>
      <xdr:spPr>
        <a:xfrm>
          <a:off x="7266593" y="197935"/>
          <a:ext cx="3164264" cy="937629"/>
        </a:xfrm>
        <a:prstGeom prst="rect">
          <a:avLst/>
        </a:prstGeom>
        <a:noFill/>
      </xdr:spPr>
      <xdr:txBody>
        <a:bodyPr wrap="none" lIns="91440" tIns="45720" rIns="91440" bIns="45720">
          <a:spAutoFit/>
        </a:bodyPr>
        <a:lstStyle/>
        <a:p>
          <a:pPr algn="ctr"/>
          <a:r>
            <a:rPr lang="en-IN"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APPLE.INC</a:t>
          </a:r>
        </a:p>
      </xdr:txBody>
    </xdr:sp>
    <xdr:clientData/>
  </xdr:oneCellAnchor>
  <xdr:twoCellAnchor editAs="oneCell">
    <xdr:from>
      <xdr:col>0</xdr:col>
      <xdr:colOff>19050</xdr:colOff>
      <xdr:row>1</xdr:row>
      <xdr:rowOff>28575</xdr:rowOff>
    </xdr:from>
    <xdr:to>
      <xdr:col>2</xdr:col>
      <xdr:colOff>600075</xdr:colOff>
      <xdr:row>5</xdr:row>
      <xdr:rowOff>166688</xdr:rowOff>
    </xdr:to>
    <xdr:pic>
      <xdr:nvPicPr>
        <xdr:cNvPr id="23" name="Picture 22"/>
        <xdr:cNvPicPr>
          <a:picLocks noChangeAspect="1"/>
        </xdr:cNvPicPr>
      </xdr:nvPicPr>
      <xdr:blipFill>
        <a:blip xmlns:r="http://schemas.openxmlformats.org/officeDocument/2006/relationships" r:embed="rId4"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9050" y="219075"/>
          <a:ext cx="1800225" cy="9001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80141</xdr:rowOff>
    </xdr:from>
    <xdr:to>
      <xdr:col>2</xdr:col>
      <xdr:colOff>256190</xdr:colOff>
      <xdr:row>19</xdr:row>
      <xdr:rowOff>170793</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423697</xdr:colOff>
      <xdr:row>9</xdr:row>
      <xdr:rowOff>21021</xdr:rowOff>
    </xdr:from>
    <xdr:to>
      <xdr:col>5</xdr:col>
      <xdr:colOff>321879</xdr:colOff>
      <xdr:row>19</xdr:row>
      <xdr:rowOff>65690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295604</xdr:colOff>
      <xdr:row>7</xdr:row>
      <xdr:rowOff>169150</xdr:rowOff>
    </xdr:from>
    <xdr:to>
      <xdr:col>9</xdr:col>
      <xdr:colOff>381001</xdr:colOff>
      <xdr:row>15</xdr:row>
      <xdr:rowOff>98534</xdr:rowOff>
    </xdr:to>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30966" y="1502650"/>
              <a:ext cx="1208690" cy="1453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758385</xdr:colOff>
      <xdr:row>16</xdr:row>
      <xdr:rowOff>6568</xdr:rowOff>
    </xdr:from>
    <xdr:to>
      <xdr:col>9</xdr:col>
      <xdr:colOff>1182413</xdr:colOff>
      <xdr:row>22</xdr:row>
      <xdr:rowOff>151086</xdr:rowOff>
    </xdr:to>
    <mc:AlternateContent xmlns:mc="http://schemas.openxmlformats.org/markup-compatibility/2006" xmlns:tsle="http://schemas.microsoft.com/office/drawing/2012/timeslicer">
      <mc:Choice Requires="tsle">
        <xdr:graphicFrame macro="">
          <xdr:nvGraphicFramePr>
            <xdr:cNvPr id="7"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793747" y="3054568"/>
              <a:ext cx="1547321" cy="1287518"/>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4</xdr:col>
      <xdr:colOff>364577</xdr:colOff>
      <xdr:row>20</xdr:row>
      <xdr:rowOff>152399</xdr:rowOff>
    </xdr:from>
    <xdr:to>
      <xdr:col>7</xdr:col>
      <xdr:colOff>1011621</xdr:colOff>
      <xdr:row>30</xdr:row>
      <xdr:rowOff>65689</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05.767235648149" createdVersion="6" refreshedVersion="6" minRefreshableVersion="3" recordCount="50">
  <cacheSource type="worksheet">
    <worksheetSource name="sales_dataset"/>
  </cacheSource>
  <cacheFields count="8">
    <cacheField name="Date" numFmtId="164">
      <sharedItems containsSemiMixedTypes="0" containsNonDate="0" containsDate="1" containsString="0" minDate="2025-01-01T00:00:00" maxDate="2025-06-27T00:00:00" count="42">
        <d v="2025-03-22T00:00:00"/>
        <d v="2025-03-25T00:00:00"/>
        <d v="2025-04-15T00:00:00"/>
        <d v="2025-05-03T00:00:00"/>
        <d v="2025-02-17T00:00:00"/>
        <d v="2025-01-10T00:00:00"/>
        <d v="2025-06-16T00:00:00"/>
        <d v="2025-01-31T00:00:00"/>
        <d v="2025-05-18T00:00:00"/>
        <d v="2025-02-07T00:00:00"/>
        <d v="2025-01-20T00:00:00"/>
        <d v="2025-03-23T00:00:00"/>
        <d v="2025-05-27T00:00:00"/>
        <d v="2025-01-13T00:00:00"/>
        <d v="2025-04-05T00:00:00"/>
        <d v="2025-02-02T00:00:00"/>
        <d v="2025-03-04T00:00:00"/>
        <d v="2025-03-24T00:00:00"/>
        <d v="2025-03-17T00:00:00"/>
        <d v="2025-05-15T00:00:00"/>
        <d v="2025-04-21T00:00:00"/>
        <d v="2025-06-24T00:00:00"/>
        <d v="2025-01-04T00:00:00"/>
        <d v="2025-02-12T00:00:00"/>
        <d v="2025-01-08T00:00:00"/>
        <d v="2025-06-26T00:00:00"/>
        <d v="2025-02-10T00:00:00"/>
        <d v="2025-03-09T00:00:00"/>
        <d v="2025-04-06T00:00:00"/>
        <d v="2025-06-11T00:00:00"/>
        <d v="2025-02-24T00:00:00"/>
        <d v="2025-03-19T00:00:00"/>
        <d v="2025-03-21T00:00:00"/>
        <d v="2025-05-24T00:00:00"/>
        <d v="2025-04-25T00:00:00"/>
        <d v="2025-06-03T00:00:00"/>
        <d v="2025-01-01T00:00:00"/>
        <d v="2025-01-14T00:00:00"/>
        <d v="2025-05-16T00:00:00"/>
        <d v="2025-01-25T00:00:00"/>
        <d v="2025-01-19T00:00:00"/>
        <d v="2025-05-22T00:00:00"/>
      </sharedItems>
      <fieldGroup par="7" base="0">
        <rangePr groupBy="days" startDate="2025-01-01T00:00:00" endDate="2025-06-27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06-2025"/>
        </groupItems>
      </fieldGroup>
    </cacheField>
    <cacheField name="Region" numFmtId="0">
      <sharedItems count="4">
        <s v="East"/>
        <s v="South"/>
        <s v="West"/>
        <s v="North"/>
      </sharedItems>
    </cacheField>
    <cacheField name="Product" numFmtId="0">
      <sharedItems count="4">
        <s v="Monitor"/>
        <s v="Tablet"/>
        <s v="Mobile"/>
        <s v="Laptop"/>
      </sharedItems>
    </cacheField>
    <cacheField name="Salesperson" numFmtId="0">
      <sharedItems count="4">
        <s v="Alice"/>
        <s v="Charlie"/>
        <s v="Bob"/>
        <s v="Diana"/>
      </sharedItems>
    </cacheField>
    <cacheField name="Units_Sold" numFmtId="0">
      <sharedItems containsSemiMixedTypes="0" containsString="0" containsNumber="1" containsInteger="1" minValue="1" maxValue="10"/>
    </cacheField>
    <cacheField name="Unit_Price" numFmtId="165">
      <sharedItems containsSemiMixedTypes="0" containsString="0" containsNumber="1" containsInteger="1" minValue="182" maxValue="999"/>
    </cacheField>
    <cacheField name="Total_Sale" numFmtId="166">
      <sharedItems containsSemiMixedTypes="0" containsString="0" containsNumber="1" containsInteger="1" minValue="410" maxValue="8991"/>
    </cacheField>
    <cacheField name="Months" numFmtId="0" databaseField="0">
      <fieldGroup base="0">
        <rangePr groupBy="months" startDate="2025-01-01T00:00:00" endDate="2025-06-27T00:00:00"/>
        <groupItems count="14">
          <s v="&lt;01-01-2025"/>
          <s v="Jan"/>
          <s v="Feb"/>
          <s v="Mar"/>
          <s v="Apr"/>
          <s v="May"/>
          <s v="Jun"/>
          <s v="Jul"/>
          <s v="Aug"/>
          <s v="Sep"/>
          <s v="Oct"/>
          <s v="Nov"/>
          <s v="Dec"/>
          <s v="&gt;27-06-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x v="0"/>
    <x v="0"/>
    <x v="0"/>
    <x v="0"/>
    <n v="7"/>
    <n v="477"/>
    <n v="3339"/>
  </r>
  <r>
    <x v="1"/>
    <x v="1"/>
    <x v="1"/>
    <x v="1"/>
    <n v="4"/>
    <n v="800"/>
    <n v="3200"/>
  </r>
  <r>
    <x v="2"/>
    <x v="1"/>
    <x v="0"/>
    <x v="2"/>
    <n v="6"/>
    <n v="715"/>
    <n v="4290"/>
  </r>
  <r>
    <x v="3"/>
    <x v="0"/>
    <x v="1"/>
    <x v="1"/>
    <n v="5"/>
    <n v="925"/>
    <n v="4625"/>
  </r>
  <r>
    <x v="2"/>
    <x v="2"/>
    <x v="2"/>
    <x v="1"/>
    <n v="5"/>
    <n v="905"/>
    <n v="4525"/>
  </r>
  <r>
    <x v="4"/>
    <x v="3"/>
    <x v="1"/>
    <x v="2"/>
    <n v="9"/>
    <n v="999"/>
    <n v="8991"/>
  </r>
  <r>
    <x v="5"/>
    <x v="0"/>
    <x v="1"/>
    <x v="1"/>
    <n v="1"/>
    <n v="747"/>
    <n v="747"/>
  </r>
  <r>
    <x v="6"/>
    <x v="2"/>
    <x v="2"/>
    <x v="3"/>
    <n v="3"/>
    <n v="333"/>
    <n v="999"/>
  </r>
  <r>
    <x v="7"/>
    <x v="2"/>
    <x v="1"/>
    <x v="0"/>
    <n v="7"/>
    <n v="435"/>
    <n v="3045"/>
  </r>
  <r>
    <x v="8"/>
    <x v="0"/>
    <x v="2"/>
    <x v="0"/>
    <n v="7"/>
    <n v="347"/>
    <n v="2429"/>
  </r>
  <r>
    <x v="9"/>
    <x v="3"/>
    <x v="0"/>
    <x v="2"/>
    <n v="2"/>
    <n v="921"/>
    <n v="1842"/>
  </r>
  <r>
    <x v="10"/>
    <x v="3"/>
    <x v="1"/>
    <x v="2"/>
    <n v="4"/>
    <n v="459"/>
    <n v="1836"/>
  </r>
  <r>
    <x v="11"/>
    <x v="2"/>
    <x v="2"/>
    <x v="3"/>
    <n v="8"/>
    <n v="963"/>
    <n v="7704"/>
  </r>
  <r>
    <x v="1"/>
    <x v="2"/>
    <x v="3"/>
    <x v="3"/>
    <n v="10"/>
    <n v="496"/>
    <n v="4960"/>
  </r>
  <r>
    <x v="12"/>
    <x v="3"/>
    <x v="0"/>
    <x v="3"/>
    <n v="5"/>
    <n v="363"/>
    <n v="1815"/>
  </r>
  <r>
    <x v="13"/>
    <x v="1"/>
    <x v="1"/>
    <x v="1"/>
    <n v="8"/>
    <n v="781"/>
    <n v="6248"/>
  </r>
  <r>
    <x v="14"/>
    <x v="3"/>
    <x v="1"/>
    <x v="2"/>
    <n v="7"/>
    <n v="500"/>
    <n v="3500"/>
  </r>
  <r>
    <x v="15"/>
    <x v="2"/>
    <x v="0"/>
    <x v="2"/>
    <n v="4"/>
    <n v="702"/>
    <n v="2808"/>
  </r>
  <r>
    <x v="16"/>
    <x v="3"/>
    <x v="0"/>
    <x v="0"/>
    <n v="2"/>
    <n v="641"/>
    <n v="1282"/>
  </r>
  <r>
    <x v="0"/>
    <x v="1"/>
    <x v="3"/>
    <x v="0"/>
    <n v="7"/>
    <n v="526"/>
    <n v="3682"/>
  </r>
  <r>
    <x v="17"/>
    <x v="2"/>
    <x v="2"/>
    <x v="2"/>
    <n v="8"/>
    <n v="285"/>
    <n v="2280"/>
  </r>
  <r>
    <x v="18"/>
    <x v="3"/>
    <x v="0"/>
    <x v="2"/>
    <n v="7"/>
    <n v="818"/>
    <n v="5726"/>
  </r>
  <r>
    <x v="19"/>
    <x v="2"/>
    <x v="1"/>
    <x v="0"/>
    <n v="9"/>
    <n v="732"/>
    <n v="6588"/>
  </r>
  <r>
    <x v="20"/>
    <x v="0"/>
    <x v="3"/>
    <x v="2"/>
    <n v="5"/>
    <n v="472"/>
    <n v="2360"/>
  </r>
  <r>
    <x v="21"/>
    <x v="0"/>
    <x v="2"/>
    <x v="0"/>
    <n v="7"/>
    <n v="182"/>
    <n v="1274"/>
  </r>
  <r>
    <x v="22"/>
    <x v="0"/>
    <x v="0"/>
    <x v="2"/>
    <n v="3"/>
    <n v="278"/>
    <n v="834"/>
  </r>
  <r>
    <x v="23"/>
    <x v="3"/>
    <x v="3"/>
    <x v="3"/>
    <n v="2"/>
    <n v="401"/>
    <n v="802"/>
  </r>
  <r>
    <x v="24"/>
    <x v="0"/>
    <x v="1"/>
    <x v="1"/>
    <n v="7"/>
    <n v="336"/>
    <n v="2352"/>
  </r>
  <r>
    <x v="25"/>
    <x v="0"/>
    <x v="3"/>
    <x v="2"/>
    <n v="4"/>
    <n v="416"/>
    <n v="1664"/>
  </r>
  <r>
    <x v="26"/>
    <x v="0"/>
    <x v="1"/>
    <x v="3"/>
    <n v="7"/>
    <n v="783"/>
    <n v="5481"/>
  </r>
  <r>
    <x v="27"/>
    <x v="3"/>
    <x v="3"/>
    <x v="2"/>
    <n v="2"/>
    <n v="887"/>
    <n v="1774"/>
  </r>
  <r>
    <x v="28"/>
    <x v="3"/>
    <x v="3"/>
    <x v="2"/>
    <n v="2"/>
    <n v="205"/>
    <n v="410"/>
  </r>
  <r>
    <x v="29"/>
    <x v="0"/>
    <x v="1"/>
    <x v="0"/>
    <n v="5"/>
    <n v="205"/>
    <n v="1025"/>
  </r>
  <r>
    <x v="30"/>
    <x v="3"/>
    <x v="2"/>
    <x v="2"/>
    <n v="2"/>
    <n v="283"/>
    <n v="566"/>
  </r>
  <r>
    <x v="3"/>
    <x v="2"/>
    <x v="2"/>
    <x v="3"/>
    <n v="9"/>
    <n v="681"/>
    <n v="6129"/>
  </r>
  <r>
    <x v="6"/>
    <x v="0"/>
    <x v="0"/>
    <x v="1"/>
    <n v="2"/>
    <n v="359"/>
    <n v="718"/>
  </r>
  <r>
    <x v="31"/>
    <x v="2"/>
    <x v="2"/>
    <x v="0"/>
    <n v="6"/>
    <n v="949"/>
    <n v="5694"/>
  </r>
  <r>
    <x v="32"/>
    <x v="3"/>
    <x v="3"/>
    <x v="2"/>
    <n v="6"/>
    <n v="417"/>
    <n v="2502"/>
  </r>
  <r>
    <x v="33"/>
    <x v="2"/>
    <x v="1"/>
    <x v="3"/>
    <n v="8"/>
    <n v="521"/>
    <n v="4168"/>
  </r>
  <r>
    <x v="34"/>
    <x v="2"/>
    <x v="0"/>
    <x v="0"/>
    <n v="2"/>
    <n v="651"/>
    <n v="1302"/>
  </r>
  <r>
    <x v="35"/>
    <x v="3"/>
    <x v="2"/>
    <x v="2"/>
    <n v="7"/>
    <n v="256"/>
    <n v="1792"/>
  </r>
  <r>
    <x v="36"/>
    <x v="2"/>
    <x v="2"/>
    <x v="0"/>
    <n v="2"/>
    <n v="740"/>
    <n v="1480"/>
  </r>
  <r>
    <x v="37"/>
    <x v="3"/>
    <x v="3"/>
    <x v="3"/>
    <n v="8"/>
    <n v="828"/>
    <n v="6624"/>
  </r>
  <r>
    <x v="38"/>
    <x v="3"/>
    <x v="1"/>
    <x v="3"/>
    <n v="5"/>
    <n v="737"/>
    <n v="3685"/>
  </r>
  <r>
    <x v="39"/>
    <x v="0"/>
    <x v="1"/>
    <x v="0"/>
    <n v="5"/>
    <n v="376"/>
    <n v="1880"/>
  </r>
  <r>
    <x v="40"/>
    <x v="0"/>
    <x v="3"/>
    <x v="0"/>
    <n v="8"/>
    <n v="714"/>
    <n v="5712"/>
  </r>
  <r>
    <x v="23"/>
    <x v="1"/>
    <x v="1"/>
    <x v="2"/>
    <n v="6"/>
    <n v="741"/>
    <n v="4446"/>
  </r>
  <r>
    <x v="2"/>
    <x v="2"/>
    <x v="1"/>
    <x v="2"/>
    <n v="6"/>
    <n v="290"/>
    <n v="1740"/>
  </r>
  <r>
    <x v="41"/>
    <x v="1"/>
    <x v="0"/>
    <x v="3"/>
    <n v="3"/>
    <n v="471"/>
    <n v="1413"/>
  </r>
  <r>
    <x v="34"/>
    <x v="1"/>
    <x v="3"/>
    <x v="2"/>
    <n v="8"/>
    <n v="802"/>
    <n v="64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roduct Vs totalSales"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27">
  <location ref="A4:B9" firstHeaderRow="1" firstDataRow="1" firstDataCol="1"/>
  <pivotFields count="8">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axis="axisRow" compact="0" outline="0"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5" outline="0" showAll="0"/>
    <pivotField dataField="1" compact="0" numFmtId="166" outline="0" showAll="0"/>
    <pivotField compact="0" outline="0" showAll="0" defaultSubtotal="0">
      <items count="14">
        <item x="0"/>
        <item x="1"/>
        <item x="2"/>
        <item x="3"/>
        <item x="4"/>
        <item x="5"/>
        <item x="6"/>
        <item x="7"/>
        <item x="8"/>
        <item x="9"/>
        <item x="10"/>
        <item x="11"/>
        <item x="12"/>
        <item x="13"/>
      </items>
    </pivotField>
  </pivotFields>
  <rowFields count="1">
    <field x="2"/>
  </rowFields>
  <rowItems count="5">
    <i>
      <x v="3"/>
    </i>
    <i>
      <x/>
    </i>
    <i>
      <x v="1"/>
    </i>
    <i>
      <x v="2"/>
    </i>
    <i t="grand">
      <x/>
    </i>
  </rowItems>
  <colItems count="1">
    <i/>
  </colItems>
  <dataFields count="1">
    <dataField name="Sum of Total_Sale" fld="6" baseField="0" baseItem="0"/>
  </dataFields>
  <formats count="9">
    <format dxfId="8">
      <pivotArea type="all" dataOnly="0" outline="0" fieldPosition="0"/>
    </format>
    <format dxfId="7">
      <pivotArea outline="0" collapsedLevelsAreSubtotals="1" fieldPosition="0"/>
    </format>
    <format dxfId="6">
      <pivotArea field="2" type="button" dataOnly="0" labelOnly="1" outline="0" axis="axisRow" fieldPosition="0"/>
    </format>
    <format dxfId="5">
      <pivotArea dataOnly="0" labelOnly="1" outline="0" axis="axisValues" fieldPosition="0"/>
    </format>
    <format dxfId="4">
      <pivotArea dataOnly="0" labelOnly="1" outline="0" fieldPosition="0">
        <references count="1">
          <reference field="2" count="0"/>
        </references>
      </pivotArea>
    </format>
    <format dxfId="3">
      <pivotArea dataOnly="0" labelOnly="1" grandRow="1" outline="0" fieldPosition="0"/>
    </format>
    <format dxfId="2">
      <pivotArea dataOnly="0" labelOnly="1" outline="0" axis="axisValues" fieldPosition="0"/>
    </format>
    <format dxfId="1">
      <pivotArea outline="0" fieldPosition="0">
        <references count="1">
          <reference field="2" count="1" selected="0">
            <x v="3"/>
          </reference>
        </references>
      </pivotArea>
    </format>
    <format dxfId="0">
      <pivotArea dataOnly="0" labelOnly="1" outline="0" fieldPosition="0">
        <references count="1">
          <reference field="2" count="1">
            <x v="3"/>
          </reference>
        </references>
      </pivotArea>
    </format>
  </formats>
  <chartFormats count="4">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46">
  <location ref="D2:E7" firstHeaderRow="1" firstDataRow="1" firstDataCol="1"/>
  <pivotFields count="8">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items count="5">
        <item x="3"/>
        <item x="2"/>
        <item x="0"/>
        <item x="1"/>
        <item t="default"/>
      </items>
    </pivotField>
    <pivotField axis="axisRow" compact="0" outline="0"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compact="0" outline="0" showAll="0"/>
    <pivotField compact="0" numFmtId="165" outline="0" showAll="0"/>
    <pivotField dataField="1" compact="0" numFmtId="166" outline="0" showAll="0"/>
    <pivotField compact="0" outline="0" showAll="0" defaultSubtotal="0">
      <items count="14">
        <item x="0"/>
        <item x="1"/>
        <item x="2"/>
        <item x="3"/>
        <item x="4"/>
        <item x="5"/>
        <item x="6"/>
        <item x="7"/>
        <item x="8"/>
        <item x="9"/>
        <item x="10"/>
        <item x="11"/>
        <item x="12"/>
        <item x="13"/>
      </items>
    </pivotField>
  </pivotFields>
  <rowFields count="1">
    <field x="3"/>
  </rowFields>
  <rowItems count="5">
    <i>
      <x v="1"/>
    </i>
    <i>
      <x v="3"/>
    </i>
    <i>
      <x/>
    </i>
    <i>
      <x v="2"/>
    </i>
    <i t="grand">
      <x/>
    </i>
  </rowItems>
  <colItems count="1">
    <i/>
  </colItems>
  <dataFields count="1">
    <dataField name="Sum of Total_Sale" fld="6" baseField="0" baseItem="0"/>
  </dataFields>
  <formats count="9">
    <format dxfId="17">
      <pivotArea outline="0" fieldPosition="0">
        <references count="1">
          <reference field="3" count="1" selected="0">
            <x v="1"/>
          </reference>
        </references>
      </pivotArea>
    </format>
    <format dxfId="16">
      <pivotArea dataOnly="0" labelOnly="1" outline="0" fieldPosition="0">
        <references count="1">
          <reference field="3" count="1">
            <x v="1"/>
          </reference>
        </references>
      </pivotArea>
    </format>
    <format dxfId="15">
      <pivotArea type="all" dataOnly="0" outline="0" fieldPosition="0"/>
    </format>
    <format dxfId="14">
      <pivotArea outline="0" collapsedLevelsAreSubtotals="1" fieldPosition="0"/>
    </format>
    <format dxfId="13">
      <pivotArea field="3" type="button" dataOnly="0" labelOnly="1" outline="0" axis="axisRow" fieldPosition="0"/>
    </format>
    <format dxfId="12">
      <pivotArea dataOnly="0" labelOnly="1" outline="0" axis="axisValues" fieldPosition="0"/>
    </format>
    <format dxfId="11">
      <pivotArea dataOnly="0" labelOnly="1" outline="0" fieldPosition="0">
        <references count="1">
          <reference field="3" count="0"/>
        </references>
      </pivotArea>
    </format>
    <format dxfId="10">
      <pivotArea dataOnly="0" labelOnly="1" grandRow="1" outline="0" fieldPosition="0"/>
    </format>
    <format dxfId="9">
      <pivotArea dataOnly="0" labelOnly="1" outline="0" axis="axisValues" fieldPosition="0"/>
    </format>
  </formats>
  <chartFormats count="10">
    <chartFormat chart="45" format="7" series="1">
      <pivotArea type="data" outline="0" fieldPosition="0">
        <references count="1">
          <reference field="4294967294" count="1" selected="0">
            <x v="0"/>
          </reference>
        </references>
      </pivotArea>
    </chartFormat>
    <chartFormat chart="45" format="8">
      <pivotArea type="data" outline="0" fieldPosition="0">
        <references count="2">
          <reference field="4294967294" count="1" selected="0">
            <x v="0"/>
          </reference>
          <reference field="3" count="1" selected="0">
            <x v="1"/>
          </reference>
        </references>
      </pivotArea>
    </chartFormat>
    <chartFormat chart="45" format="9">
      <pivotArea type="data" outline="0" fieldPosition="0">
        <references count="2">
          <reference field="4294967294" count="1" selected="0">
            <x v="0"/>
          </reference>
          <reference field="3" count="1" selected="0">
            <x v="3"/>
          </reference>
        </references>
      </pivotArea>
    </chartFormat>
    <chartFormat chart="45" format="10">
      <pivotArea type="data" outline="0" fieldPosition="0">
        <references count="2">
          <reference field="4294967294" count="1" selected="0">
            <x v="0"/>
          </reference>
          <reference field="3" count="1" selected="0">
            <x v="0"/>
          </reference>
        </references>
      </pivotArea>
    </chartFormat>
    <chartFormat chart="45" format="11">
      <pivotArea type="data" outline="0" fieldPosition="0">
        <references count="2">
          <reference field="4294967294" count="1" selected="0">
            <x v="0"/>
          </reference>
          <reference field="3" count="1" selected="0">
            <x v="2"/>
          </reference>
        </references>
      </pivotArea>
    </chartFormat>
    <chartFormat chart="36" format="3" series="1">
      <pivotArea type="data" outline="0" fieldPosition="0">
        <references count="1">
          <reference field="4294967294" count="1" selected="0">
            <x v="0"/>
          </reference>
        </references>
      </pivotArea>
    </chartFormat>
    <chartFormat chart="36" format="4">
      <pivotArea type="data" outline="0" fieldPosition="0">
        <references count="2">
          <reference field="4294967294" count="1" selected="0">
            <x v="0"/>
          </reference>
          <reference field="3" count="1" selected="0">
            <x v="1"/>
          </reference>
        </references>
      </pivotArea>
    </chartFormat>
    <chartFormat chart="36" format="5">
      <pivotArea type="data" outline="0" fieldPosition="0">
        <references count="2">
          <reference field="4294967294" count="1" selected="0">
            <x v="0"/>
          </reference>
          <reference field="3" count="1" selected="0">
            <x v="3"/>
          </reference>
        </references>
      </pivotArea>
    </chartFormat>
    <chartFormat chart="36" format="6">
      <pivotArea type="data" outline="0" fieldPosition="0">
        <references count="2">
          <reference field="4294967294" count="1" selected="0">
            <x v="0"/>
          </reference>
          <reference field="3" count="1" selected="0">
            <x v="0"/>
          </reference>
        </references>
      </pivotArea>
    </chartFormat>
    <chartFormat chart="36" format="7">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region Vs product Count" cacheId="0" applyNumberFormats="0" applyBorderFormats="0" applyFontFormats="0" applyPatternFormats="0" applyAlignmentFormats="0" applyWidthHeightFormats="1" dataCaption="Values" updatedVersion="6" minRefreshableVersion="3" useAutoFormatting="1" rowGrandTotals="0" itemPrintTitles="1" createdVersion="6" indent="0" compact="0" compactData="0" multipleFieldFilters="0">
  <location ref="J2:O7" firstHeaderRow="1" firstDataRow="2" firstDataCol="1"/>
  <pivotFields count="8">
    <pivotField compact="0" numFmtId="164" outline="0" showAll="0" insertBlankRow="1"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compact="0" outline="0" showAll="0" insertBlankRow="1" defaultSubtotal="0">
      <items count="4">
        <item x="0"/>
        <item x="3"/>
        <item x="1"/>
        <item x="2"/>
      </items>
    </pivotField>
    <pivotField axis="axisCol" compact="0" outline="0" showAll="0" insertBlankRow="1" defaultSubtotal="0">
      <items count="4">
        <item x="3"/>
        <item x="2"/>
        <item x="0"/>
        <item x="1"/>
      </items>
    </pivotField>
    <pivotField compact="0" outline="0" showAll="0" insertBlankRow="1" defaultSubtotal="0">
      <items count="4">
        <item x="0"/>
        <item x="2"/>
        <item x="1"/>
        <item x="3"/>
      </items>
    </pivotField>
    <pivotField compact="0" outline="0" showAll="0" insertBlankRow="1" defaultSubtotal="0"/>
    <pivotField compact="0" numFmtId="165" outline="0" showAll="0" insertBlankRow="1" defaultSubtotal="0"/>
    <pivotField dataField="1" compact="0" numFmtId="166" outline="0" showAll="0" insertBlankRow="1" defaultSubtotal="0"/>
    <pivotField compact="0" outline="0" showAll="0" insertBlankRow="1"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4">
    <i>
      <x/>
    </i>
    <i>
      <x v="1"/>
    </i>
    <i>
      <x v="2"/>
    </i>
    <i>
      <x v="3"/>
    </i>
  </rowItems>
  <colFields count="1">
    <field x="2"/>
  </colFields>
  <colItems count="5">
    <i>
      <x/>
    </i>
    <i>
      <x v="1"/>
    </i>
    <i>
      <x v="2"/>
    </i>
    <i>
      <x v="3"/>
    </i>
    <i t="grand">
      <x/>
    </i>
  </colItems>
  <dataFields count="1">
    <dataField name="Count of Total_Sale" fld="6" subtotal="count" baseField="0" baseItem="0"/>
  </dataFields>
  <formats count="6">
    <format dxfId="23">
      <pivotArea type="all" dataOnly="0" outline="0" fieldPosition="0"/>
    </format>
    <format dxfId="22">
      <pivotArea outline="0" collapsedLevelsAreSubtotals="1" fieldPosition="0"/>
    </format>
    <format dxfId="21">
      <pivotArea field="3" type="button" dataOnly="0" labelOnly="1" outline="0"/>
    </format>
    <format dxfId="20">
      <pivotArea dataOnly="0" labelOnly="1" outline="0" axis="axisValues" fieldPosition="0"/>
    </format>
    <format dxfId="19">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5" useAutoFormatting="1" itemPrintTitles="1" createdVersion="6" indent="0" compact="0" compactData="0" multipleFieldFilters="0">
  <location ref="G12:H13" firstHeaderRow="1" firstDataRow="1" firstDataCol="1"/>
  <pivotFields count="8">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compact="0" outline="0" showAll="0">
      <items count="5">
        <item x="3"/>
        <item x="2"/>
        <item x="0"/>
        <item x="1"/>
        <item t="default"/>
      </items>
    </pivotField>
    <pivotField compact="0" outline="0"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compact="0" outline="0" showAll="0"/>
    <pivotField compact="0" numFmtId="165" outline="0" showAll="0"/>
    <pivotField dataField="1" compact="0" numFmtId="166" outline="0" showAll="0"/>
    <pivotField axis="axisRow" compact="0" outline="0" showAll="0" sortType="descending" defaultSubtotal="0">
      <items count="14">
        <item sd="0" x="0"/>
        <item sd="0" x="1"/>
        <item sd="0" x="2"/>
        <item sd="0" x="3"/>
        <item sd="0" x="4"/>
        <item sd="0" x="5"/>
        <item sd="0" x="6"/>
        <item sd="0" x="7"/>
        <item sd="0" x="8"/>
        <item sd="0" x="9"/>
        <item sd="0" x="10"/>
        <item sd="0" x="11"/>
        <item sd="0" x="12"/>
        <item sd="0" x="13"/>
      </items>
      <autoSortScope>
        <pivotArea dataOnly="0" outline="0" fieldPosition="0">
          <references count="1">
            <reference field="4294967294" count="1" selected="0">
              <x v="0"/>
            </reference>
          </references>
        </pivotArea>
      </autoSortScope>
    </pivotField>
  </pivotFields>
  <rowFields count="1">
    <field x="7"/>
  </rowFields>
  <rowItems count="1">
    <i t="grand">
      <x/>
    </i>
  </rowItems>
  <colItems count="1">
    <i/>
  </colItems>
  <dataFields count="1">
    <dataField name="Sum of Total_Sale" fld="6" baseField="0" baseItem="0"/>
  </dataFields>
  <formats count="8">
    <format dxfId="31">
      <pivotArea type="all" dataOnly="0" outline="0" fieldPosition="0"/>
    </format>
    <format dxfId="30">
      <pivotArea outline="0" collapsedLevelsAreSubtotals="1" fieldPosition="0"/>
    </format>
    <format dxfId="29">
      <pivotArea field="3" type="button" dataOnly="0" labelOnly="1" outline="0"/>
    </format>
    <format dxfId="28">
      <pivotArea dataOnly="0" labelOnly="1" outline="0" axis="axisValues" fieldPosition="0"/>
    </format>
    <format dxfId="27">
      <pivotArea dataOnly="0" labelOnly="1" grandRow="1" outline="0" fieldPosition="0"/>
    </format>
    <format dxfId="26">
      <pivotArea dataOnly="0" labelOnly="1" outline="0" axis="axisValues" fieldPosition="0"/>
    </format>
    <format dxfId="25">
      <pivotArea outline="0" fieldPosition="0">
        <references count="1">
          <reference field="7" count="1" selected="0">
            <x v="3"/>
          </reference>
        </references>
      </pivotArea>
    </format>
    <format dxfId="24">
      <pivotArea dataOnly="0" labelOnly="1" outline="0" fieldPosition="0">
        <references count="1">
          <reference field="7" count="1">
            <x v="3"/>
          </reference>
        </references>
      </pivotArea>
    </format>
  </formats>
  <pivotTableStyleInfo name="PivotStyleLight16" showRowHeaders="1" showColHeaders="1" showRowStripes="0" showColStripes="0" showLastColumn="1"/>
  <filters count="1">
    <filter fld="0" type="dateBetween" evalOrder="-1" id="42" name="Date">
      <autoFilter ref="A1">
        <filterColumn colId="0">
          <customFilters and="1">
            <customFilter operator="greaterThanOrEqual" val="45931"/>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14">
  <location ref="G2:H4" firstHeaderRow="1" firstDataRow="1" firstDataCol="1"/>
  <pivotFields count="8">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sortType="descending">
      <items count="5">
        <item h="1" x="0"/>
        <item h="1" x="3"/>
        <item h="1" x="1"/>
        <item x="2"/>
        <item t="default"/>
      </items>
      <autoSortScope>
        <pivotArea dataOnly="0" outline="0" fieldPosition="0">
          <references count="1">
            <reference field="4294967294" count="1" selected="0">
              <x v="0"/>
            </reference>
          </references>
        </pivotArea>
      </autoSortScope>
    </pivotField>
    <pivotField compact="0" outline="0" showAll="0">
      <items count="5">
        <item x="3"/>
        <item x="2"/>
        <item x="0"/>
        <item x="1"/>
        <item t="default"/>
      </items>
    </pivotField>
    <pivotField compact="0" outline="0"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compact="0" outline="0" showAll="0"/>
    <pivotField compact="0" numFmtId="165" outline="0" showAll="0"/>
    <pivotField dataField="1" compact="0" numFmtId="166" outline="0" showAll="0"/>
    <pivotField compact="0" outline="0" showAll="0" defaultSubtotal="0">
      <items count="14">
        <item x="0"/>
        <item x="1"/>
        <item x="2"/>
        <item x="3"/>
        <item x="4"/>
        <item x="5"/>
        <item x="6"/>
        <item x="7"/>
        <item x="8"/>
        <item x="9"/>
        <item x="10"/>
        <item x="11"/>
        <item x="12"/>
        <item x="13"/>
      </items>
    </pivotField>
  </pivotFields>
  <rowFields count="1">
    <field x="1"/>
  </rowFields>
  <rowItems count="2">
    <i>
      <x v="3"/>
    </i>
    <i t="grand">
      <x/>
    </i>
  </rowItems>
  <colItems count="1">
    <i/>
  </colItems>
  <dataFields count="1">
    <dataField name="Sum of Total_Sale" fld="6" baseField="0" baseItem="0"/>
  </dataFields>
  <formats count="8">
    <format dxfId="39">
      <pivotArea type="all" dataOnly="0" outline="0" fieldPosition="0"/>
    </format>
    <format dxfId="38">
      <pivotArea outline="0" collapsedLevelsAreSubtotals="1" fieldPosition="0"/>
    </format>
    <format dxfId="37">
      <pivotArea field="3" type="button" dataOnly="0" labelOnly="1" outline="0"/>
    </format>
    <format dxfId="36">
      <pivotArea dataOnly="0" labelOnly="1" outline="0" axis="axisValues" fieldPosition="0"/>
    </format>
    <format dxfId="35">
      <pivotArea dataOnly="0" labelOnly="1" grandRow="1" outline="0" fieldPosition="0"/>
    </format>
    <format dxfId="34">
      <pivotArea dataOnly="0" labelOnly="1" outline="0" axis="axisValues" fieldPosition="0"/>
    </format>
    <format dxfId="33">
      <pivotArea outline="0" fieldPosition="0">
        <references count="1">
          <reference field="1" count="1" selected="0">
            <x v="3"/>
          </reference>
        </references>
      </pivotArea>
    </format>
    <format dxfId="32">
      <pivotArea dataOnly="0" labelOnly="1" outline="0" fieldPosition="0">
        <references count="1">
          <reference field="1" count="1">
            <x v="3"/>
          </reference>
        </references>
      </pivotArea>
    </format>
  </formats>
  <chartFormats count="2">
    <chartFormat chart="1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3"/>
  </pivotTables>
  <data>
    <tabular pivotCacheId="1">
      <items count="4">
        <i x="0"/>
        <i x="3"/>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tables/table1.xml><?xml version="1.0" encoding="utf-8"?>
<table xmlns="http://schemas.openxmlformats.org/spreadsheetml/2006/main" id="1" name="sales_dataset" displayName="sales_dataset" ref="A1:G51" totalsRowShown="0" headerRowDxfId="52" dataDxfId="50" headerRowBorderDxfId="51" tableBorderDxfId="49" totalsRowBorderDxfId="48">
  <autoFilter ref="A1:G51"/>
  <tableColumns count="7">
    <tableColumn id="1" name="Date" dataDxfId="47"/>
    <tableColumn id="2" name="Region" dataDxfId="46"/>
    <tableColumn id="3" name="Product" dataDxfId="45"/>
    <tableColumn id="4" name="Salesperson" dataDxfId="44"/>
    <tableColumn id="5" name="Units_Sold" dataDxfId="43"/>
    <tableColumn id="6" name="Unit_Price" dataDxfId="42"/>
    <tableColumn id="7" name="Total_Sale" dataDxfId="41"/>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G18" totalsRowShown="0">
  <autoFilter ref="A1:G18"/>
  <tableColumns count="7">
    <tableColumn id="1" name="Date" dataDxfId="40"/>
    <tableColumn id="2" name="Region"/>
    <tableColumn id="3" name="Product"/>
    <tableColumn id="4" name="Salesperson"/>
    <tableColumn id="5" name="Units_Sold"/>
    <tableColumn id="6" name="Unit_Price"/>
    <tableColumn id="7" name="Total_Sa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4" name="PivotTable4"/>
  </pivotTables>
  <state minimalRefreshVersion="6" lastRefreshVersion="6" pivotCacheId="1" filterType="dateBetween">
    <selection startDate="2025-10-01T00:00:00" endDate="2025-12-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1" cache="NativeTimeline_Date" caption="Date" level="1" selectionLevel="1"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1" selectionLevel="1"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
  <sheetViews>
    <sheetView showGridLines="0" tabSelected="1" topLeftCell="A3" zoomScaleNormal="100" workbookViewId="0">
      <selection activeCell="B8" sqref="B8"/>
    </sheetView>
  </sheetViews>
  <sheetFormatPr defaultRowHeight="15" x14ac:dyDescent="0.25"/>
  <cols>
    <col min="1" max="16384" width="9.140625" style="23"/>
  </cols>
  <sheetData>
    <row r="1" spans="1:21" x14ac:dyDescent="0.25">
      <c r="A1" s="22"/>
      <c r="B1" s="22"/>
      <c r="C1" s="22"/>
      <c r="D1" s="22"/>
      <c r="E1" s="22"/>
      <c r="F1" s="22"/>
      <c r="G1" s="22"/>
      <c r="H1" s="22"/>
      <c r="I1" s="22"/>
      <c r="J1" s="22"/>
      <c r="K1" s="22"/>
      <c r="L1" s="22"/>
      <c r="M1" s="22"/>
      <c r="N1" s="22"/>
      <c r="O1" s="22"/>
      <c r="P1" s="22"/>
      <c r="Q1" s="22"/>
      <c r="R1" s="22"/>
      <c r="S1" s="22"/>
      <c r="T1" s="22"/>
      <c r="U1" s="22"/>
    </row>
    <row r="2" spans="1:21" x14ac:dyDescent="0.25">
      <c r="A2" s="22"/>
      <c r="B2" s="22"/>
      <c r="C2" s="22"/>
      <c r="D2" s="22"/>
      <c r="E2" s="22"/>
      <c r="F2" s="22"/>
      <c r="G2" s="22"/>
      <c r="H2" s="25"/>
      <c r="I2" s="26"/>
      <c r="J2" s="26"/>
      <c r="K2" s="26"/>
      <c r="L2" s="26"/>
      <c r="M2" s="26"/>
      <c r="N2" s="26"/>
      <c r="O2" s="26"/>
      <c r="P2" s="26"/>
      <c r="Q2" s="26"/>
      <c r="R2" s="26"/>
      <c r="S2" s="26"/>
      <c r="T2" s="26"/>
      <c r="U2" s="26"/>
    </row>
    <row r="3" spans="1:21" x14ac:dyDescent="0.25">
      <c r="A3" s="22"/>
      <c r="B3" s="22"/>
      <c r="C3" s="22"/>
      <c r="D3" s="22"/>
      <c r="E3" s="22"/>
      <c r="F3" s="22"/>
      <c r="G3" s="22"/>
      <c r="H3" s="26"/>
      <c r="I3" s="26"/>
      <c r="J3" s="26"/>
      <c r="K3" s="26"/>
      <c r="L3" s="26"/>
      <c r="M3" s="26"/>
      <c r="N3" s="26"/>
      <c r="O3" s="26"/>
      <c r="P3" s="26"/>
      <c r="Q3" s="26"/>
      <c r="R3" s="26"/>
      <c r="S3" s="26"/>
      <c r="T3" s="26"/>
      <c r="U3" s="26"/>
    </row>
    <row r="4" spans="1:21" x14ac:dyDescent="0.25">
      <c r="A4" s="22"/>
      <c r="B4" s="22"/>
      <c r="C4" s="22"/>
      <c r="D4" s="22"/>
      <c r="E4" s="22"/>
      <c r="F4" s="22"/>
      <c r="G4" s="22"/>
      <c r="H4" s="26"/>
      <c r="I4" s="26"/>
      <c r="J4" s="26"/>
      <c r="K4" s="26"/>
      <c r="L4" s="26"/>
      <c r="M4" s="26"/>
      <c r="N4" s="26"/>
      <c r="O4" s="26"/>
      <c r="P4" s="26"/>
      <c r="Q4" s="26"/>
      <c r="R4" s="26"/>
      <c r="S4" s="26"/>
      <c r="T4" s="26"/>
      <c r="U4" s="26"/>
    </row>
    <row r="5" spans="1:21" x14ac:dyDescent="0.25">
      <c r="A5" s="22"/>
      <c r="B5" s="22"/>
      <c r="C5" s="22"/>
      <c r="D5" s="22"/>
      <c r="E5" s="22"/>
      <c r="F5" s="22"/>
      <c r="G5" s="22"/>
      <c r="H5" s="26"/>
      <c r="I5" s="26"/>
      <c r="J5" s="26"/>
      <c r="K5" s="26"/>
      <c r="L5" s="26"/>
      <c r="M5" s="26"/>
      <c r="N5" s="26"/>
      <c r="O5" s="26"/>
      <c r="P5" s="26"/>
      <c r="Q5" s="26"/>
      <c r="R5" s="26"/>
      <c r="S5" s="26"/>
      <c r="T5" s="26"/>
      <c r="U5" s="26"/>
    </row>
    <row r="6" spans="1:21" x14ac:dyDescent="0.25">
      <c r="A6" s="22"/>
      <c r="B6" s="22"/>
      <c r="C6" s="22"/>
      <c r="D6" s="22"/>
      <c r="E6" s="22"/>
      <c r="F6" s="22"/>
      <c r="G6" s="22"/>
      <c r="H6" s="22"/>
      <c r="I6" s="22"/>
      <c r="J6" s="22"/>
      <c r="K6" s="22"/>
      <c r="L6" s="22"/>
      <c r="M6" s="22"/>
      <c r="N6" s="22"/>
      <c r="O6" s="22"/>
      <c r="P6" s="22"/>
      <c r="Q6" s="22"/>
      <c r="R6" s="22"/>
      <c r="S6" s="22"/>
      <c r="T6" s="22"/>
      <c r="U6" s="22"/>
    </row>
    <row r="7" spans="1:21" x14ac:dyDescent="0.25">
      <c r="A7" s="22"/>
      <c r="B7" s="22"/>
      <c r="C7" s="22"/>
      <c r="D7" s="22"/>
      <c r="E7" s="22"/>
      <c r="F7" s="22"/>
      <c r="G7" s="22"/>
      <c r="H7" s="22"/>
      <c r="I7" s="22"/>
      <c r="J7" s="22"/>
      <c r="K7" s="22"/>
      <c r="L7" s="22"/>
      <c r="M7" s="22"/>
      <c r="N7" s="22"/>
      <c r="O7" s="22"/>
      <c r="P7" s="22"/>
      <c r="Q7" s="22"/>
      <c r="R7" s="22"/>
      <c r="S7" s="22"/>
      <c r="T7" s="22"/>
      <c r="U7" s="22"/>
    </row>
    <row r="8" spans="1:21" x14ac:dyDescent="0.25">
      <c r="A8" s="22"/>
      <c r="B8" s="22"/>
      <c r="C8" s="22"/>
      <c r="T8" s="22"/>
      <c r="U8" s="22"/>
    </row>
    <row r="9" spans="1:21" x14ac:dyDescent="0.25">
      <c r="A9" s="22"/>
      <c r="B9" s="22"/>
      <c r="C9" s="22"/>
      <c r="E9" s="27" t="s">
        <v>24</v>
      </c>
      <c r="F9" s="28"/>
      <c r="G9" s="28"/>
      <c r="H9" s="28"/>
      <c r="J9" s="27" t="s">
        <v>25</v>
      </c>
      <c r="K9" s="27"/>
      <c r="L9" s="27"/>
      <c r="M9" s="27"/>
      <c r="O9" s="27" t="s">
        <v>26</v>
      </c>
      <c r="P9" s="27"/>
      <c r="Q9" s="27"/>
      <c r="R9" s="27"/>
      <c r="T9" s="22"/>
      <c r="U9" s="22"/>
    </row>
    <row r="10" spans="1:21" x14ac:dyDescent="0.25">
      <c r="A10" s="22"/>
      <c r="B10" s="22"/>
      <c r="C10" s="22"/>
      <c r="E10" s="28"/>
      <c r="F10" s="28"/>
      <c r="G10" s="28"/>
      <c r="H10" s="28"/>
      <c r="J10" s="27"/>
      <c r="K10" s="27"/>
      <c r="L10" s="27"/>
      <c r="M10" s="27"/>
      <c r="O10" s="27"/>
      <c r="P10" s="27"/>
      <c r="Q10" s="27"/>
      <c r="R10" s="27"/>
      <c r="T10" s="22"/>
      <c r="U10" s="22"/>
    </row>
    <row r="11" spans="1:21" x14ac:dyDescent="0.25">
      <c r="A11" s="22"/>
      <c r="B11" s="22"/>
      <c r="C11" s="22"/>
      <c r="E11" s="29">
        <f>GETPIVOTDATA("Total_Sale",Sheet1!$D$2,"Salesperson","Bob")</f>
        <v>55777</v>
      </c>
      <c r="F11" s="30"/>
      <c r="G11" s="30"/>
      <c r="H11" s="31"/>
      <c r="J11" s="35" t="str">
        <f>Sheet1!G3</f>
        <v>West</v>
      </c>
      <c r="K11" s="36"/>
      <c r="L11" s="36"/>
      <c r="M11" s="37"/>
      <c r="O11" s="41">
        <f>GETPIVOTDATA("Total_Sale",Sheet1!$G$2,"Region","West")</f>
        <v>53422</v>
      </c>
      <c r="P11" s="42"/>
      <c r="Q11" s="42"/>
      <c r="R11" s="43"/>
      <c r="T11" s="22"/>
      <c r="U11" s="22"/>
    </row>
    <row r="12" spans="1:21" x14ac:dyDescent="0.25">
      <c r="A12" s="22"/>
      <c r="B12" s="22"/>
      <c r="C12" s="22"/>
      <c r="E12" s="32"/>
      <c r="F12" s="33"/>
      <c r="G12" s="33"/>
      <c r="H12" s="34"/>
      <c r="J12" s="38"/>
      <c r="K12" s="39"/>
      <c r="L12" s="39"/>
      <c r="M12" s="40"/>
      <c r="O12" s="44"/>
      <c r="P12" s="45"/>
      <c r="Q12" s="45"/>
      <c r="R12" s="46"/>
      <c r="T12" s="22"/>
      <c r="U12" s="22"/>
    </row>
    <row r="13" spans="1:21" x14ac:dyDescent="0.25">
      <c r="A13" s="22"/>
      <c r="B13" s="22"/>
      <c r="C13" s="22"/>
      <c r="T13" s="22"/>
      <c r="U13" s="22"/>
    </row>
    <row r="14" spans="1:21" x14ac:dyDescent="0.25">
      <c r="A14" s="22"/>
      <c r="B14" s="22"/>
      <c r="C14" s="22"/>
      <c r="T14" s="22"/>
      <c r="U14" s="22"/>
    </row>
    <row r="15" spans="1:21" x14ac:dyDescent="0.25">
      <c r="A15" s="22"/>
      <c r="B15" s="22"/>
      <c r="C15" s="22"/>
      <c r="T15" s="22"/>
      <c r="U15" s="22"/>
    </row>
    <row r="16" spans="1:21" x14ac:dyDescent="0.25">
      <c r="A16" s="22"/>
      <c r="B16" s="22"/>
      <c r="C16" s="22"/>
      <c r="T16" s="22"/>
      <c r="U16" s="22"/>
    </row>
    <row r="17" spans="1:21" x14ac:dyDescent="0.25">
      <c r="A17" s="22"/>
      <c r="B17" s="22"/>
      <c r="C17" s="22"/>
      <c r="T17" s="22"/>
      <c r="U17" s="22"/>
    </row>
    <row r="18" spans="1:21" x14ac:dyDescent="0.25">
      <c r="A18" s="22"/>
      <c r="B18" s="22"/>
      <c r="C18" s="22"/>
      <c r="T18" s="22"/>
      <c r="U18" s="22"/>
    </row>
    <row r="19" spans="1:21" x14ac:dyDescent="0.25">
      <c r="A19" s="22"/>
      <c r="B19" s="22"/>
      <c r="C19" s="22"/>
      <c r="T19" s="22"/>
      <c r="U19" s="22"/>
    </row>
    <row r="20" spans="1:21" x14ac:dyDescent="0.25">
      <c r="A20" s="22"/>
      <c r="B20" s="22"/>
      <c r="C20" s="22"/>
      <c r="T20" s="22"/>
      <c r="U20" s="22"/>
    </row>
    <row r="21" spans="1:21" x14ac:dyDescent="0.25">
      <c r="A21" s="22"/>
      <c r="B21" s="22"/>
      <c r="C21" s="22"/>
      <c r="T21" s="22"/>
      <c r="U21" s="22"/>
    </row>
    <row r="22" spans="1:21" x14ac:dyDescent="0.25">
      <c r="A22" s="22"/>
      <c r="B22" s="22"/>
      <c r="C22" s="22"/>
      <c r="T22" s="22"/>
      <c r="U22" s="22"/>
    </row>
    <row r="23" spans="1:21" x14ac:dyDescent="0.25">
      <c r="A23" s="22"/>
      <c r="B23" s="22"/>
      <c r="C23" s="22"/>
      <c r="T23" s="22"/>
      <c r="U23" s="22"/>
    </row>
    <row r="24" spans="1:21" x14ac:dyDescent="0.25">
      <c r="A24" s="22"/>
      <c r="B24" s="22"/>
      <c r="C24" s="22"/>
      <c r="T24" s="22"/>
      <c r="U24" s="22"/>
    </row>
    <row r="25" spans="1:21" x14ac:dyDescent="0.25">
      <c r="A25" s="22"/>
      <c r="B25" s="22"/>
      <c r="C25" s="22"/>
      <c r="T25" s="22"/>
      <c r="U25" s="22"/>
    </row>
    <row r="26" spans="1:21" x14ac:dyDescent="0.25">
      <c r="A26" s="22"/>
      <c r="B26" s="22"/>
      <c r="C26" s="22"/>
      <c r="T26" s="22"/>
      <c r="U26" s="22"/>
    </row>
    <row r="27" spans="1:21" x14ac:dyDescent="0.25">
      <c r="A27" s="22"/>
      <c r="B27" s="22"/>
      <c r="C27" s="22"/>
      <c r="T27" s="22"/>
      <c r="U27" s="22"/>
    </row>
    <row r="28" spans="1:21" x14ac:dyDescent="0.25">
      <c r="A28" s="22"/>
      <c r="B28" s="22"/>
      <c r="C28" s="22"/>
      <c r="T28" s="22"/>
      <c r="U28" s="22"/>
    </row>
    <row r="29" spans="1:21" x14ac:dyDescent="0.25">
      <c r="A29" s="22"/>
      <c r="B29" s="22"/>
      <c r="C29" s="22"/>
      <c r="T29" s="22"/>
      <c r="U29" s="22"/>
    </row>
    <row r="30" spans="1:21" x14ac:dyDescent="0.25">
      <c r="A30" s="22"/>
      <c r="B30" s="22"/>
      <c r="C30" s="22"/>
      <c r="T30" s="22"/>
      <c r="U30" s="22"/>
    </row>
    <row r="31" spans="1:21" x14ac:dyDescent="0.25">
      <c r="A31" s="22"/>
      <c r="B31" s="22"/>
      <c r="C31" s="22"/>
      <c r="T31" s="22"/>
      <c r="U31" s="22"/>
    </row>
    <row r="32" spans="1:21" x14ac:dyDescent="0.25">
      <c r="A32" s="22"/>
      <c r="B32" s="22"/>
      <c r="C32" s="22"/>
      <c r="T32" s="22"/>
      <c r="U32" s="22"/>
    </row>
    <row r="33" spans="1:21" x14ac:dyDescent="0.25">
      <c r="A33" s="22"/>
      <c r="B33" s="22"/>
      <c r="C33" s="22"/>
      <c r="T33" s="22"/>
      <c r="U33" s="22"/>
    </row>
    <row r="34" spans="1:21" x14ac:dyDescent="0.25">
      <c r="A34" s="22"/>
      <c r="B34" s="22"/>
      <c r="C34" s="22"/>
      <c r="T34" s="22"/>
      <c r="U34" s="22"/>
    </row>
    <row r="35" spans="1:21" x14ac:dyDescent="0.25">
      <c r="A35" s="22"/>
      <c r="B35" s="22"/>
      <c r="C35" s="22"/>
      <c r="T35" s="22"/>
      <c r="U35" s="22"/>
    </row>
    <row r="36" spans="1:21" x14ac:dyDescent="0.25">
      <c r="A36" s="22"/>
      <c r="B36" s="22"/>
      <c r="C36" s="22"/>
      <c r="T36" s="22"/>
      <c r="U36" s="22"/>
    </row>
    <row r="37" spans="1:21" x14ac:dyDescent="0.25">
      <c r="A37" s="22"/>
      <c r="B37" s="22"/>
      <c r="C37" s="22"/>
      <c r="T37" s="22"/>
      <c r="U37" s="22"/>
    </row>
    <row r="38" spans="1:21" x14ac:dyDescent="0.25">
      <c r="A38" s="22"/>
      <c r="B38" s="22"/>
      <c r="C38" s="22"/>
      <c r="T38" s="22"/>
      <c r="U38" s="22"/>
    </row>
    <row r="39" spans="1:21" x14ac:dyDescent="0.25">
      <c r="A39" s="22"/>
      <c r="B39" s="22"/>
      <c r="C39" s="22"/>
      <c r="D39" s="22"/>
      <c r="E39" s="22"/>
      <c r="F39" s="22"/>
      <c r="G39" s="22"/>
      <c r="H39" s="22"/>
      <c r="I39" s="22"/>
      <c r="J39" s="22"/>
      <c r="K39" s="22"/>
      <c r="L39" s="22"/>
      <c r="M39" s="22"/>
      <c r="N39" s="22"/>
      <c r="O39" s="22"/>
      <c r="P39" s="22"/>
      <c r="Q39" s="22"/>
      <c r="R39" s="22"/>
      <c r="S39" s="22"/>
      <c r="T39" s="22"/>
      <c r="U39" s="22"/>
    </row>
    <row r="40" spans="1:21" x14ac:dyDescent="0.25">
      <c r="A40" s="22"/>
      <c r="B40" s="22"/>
      <c r="C40" s="22"/>
      <c r="D40" s="22"/>
      <c r="E40" s="22"/>
      <c r="F40" s="22"/>
      <c r="G40" s="22"/>
      <c r="H40" s="22"/>
      <c r="I40" s="22"/>
      <c r="J40" s="22"/>
      <c r="K40" s="22"/>
      <c r="L40" s="22"/>
      <c r="M40" s="22"/>
      <c r="N40" s="22"/>
      <c r="O40" s="22"/>
      <c r="P40" s="22"/>
      <c r="Q40" s="22"/>
      <c r="R40" s="22"/>
      <c r="S40" s="22"/>
      <c r="T40" s="22"/>
      <c r="U40" s="22"/>
    </row>
  </sheetData>
  <mergeCells count="7">
    <mergeCell ref="H2:U5"/>
    <mergeCell ref="E9:H10"/>
    <mergeCell ref="E11:H12"/>
    <mergeCell ref="J9:M10"/>
    <mergeCell ref="O9:R10"/>
    <mergeCell ref="J11:M12"/>
    <mergeCell ref="O11:R1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2" zoomScale="115" zoomScaleNormal="115" workbookViewId="0">
      <selection activeCell="E11" sqref="A2:G51"/>
    </sheetView>
  </sheetViews>
  <sheetFormatPr defaultRowHeight="15" x14ac:dyDescent="0.25"/>
  <cols>
    <col min="1" max="1" width="16.7109375" style="1" customWidth="1"/>
    <col min="2" max="2" width="11.7109375" style="1" customWidth="1"/>
    <col min="3" max="3" width="15.28515625" style="1" customWidth="1"/>
    <col min="4" max="4" width="18.42578125" style="1" customWidth="1"/>
    <col min="5" max="5" width="16.140625" style="1" customWidth="1"/>
    <col min="6" max="6" width="17.28515625" style="4" customWidth="1"/>
    <col min="7" max="7" width="17.7109375" style="5" customWidth="1"/>
    <col min="8" max="16384" width="9.140625" style="1"/>
  </cols>
  <sheetData>
    <row r="1" spans="1:7" x14ac:dyDescent="0.25">
      <c r="A1" s="12" t="s">
        <v>0</v>
      </c>
      <c r="B1" s="13" t="s">
        <v>1</v>
      </c>
      <c r="C1" s="13" t="s">
        <v>2</v>
      </c>
      <c r="D1" s="13" t="s">
        <v>3</v>
      </c>
      <c r="E1" s="14" t="s">
        <v>4</v>
      </c>
      <c r="F1" s="15" t="s">
        <v>5</v>
      </c>
      <c r="G1" s="16" t="s">
        <v>6</v>
      </c>
    </row>
    <row r="2" spans="1:7" x14ac:dyDescent="0.25">
      <c r="A2" s="6">
        <v>45738</v>
      </c>
      <c r="B2" s="2" t="s">
        <v>16</v>
      </c>
      <c r="C2" s="2" t="s">
        <v>8</v>
      </c>
      <c r="D2" s="2" t="s">
        <v>13</v>
      </c>
      <c r="E2" s="2">
        <v>7</v>
      </c>
      <c r="F2" s="3">
        <v>477</v>
      </c>
      <c r="G2" s="7">
        <v>3339</v>
      </c>
    </row>
    <row r="3" spans="1:7" x14ac:dyDescent="0.25">
      <c r="A3" s="6">
        <v>45741</v>
      </c>
      <c r="B3" s="2" t="s">
        <v>10</v>
      </c>
      <c r="C3" s="2" t="s">
        <v>18</v>
      </c>
      <c r="D3" s="2" t="s">
        <v>9</v>
      </c>
      <c r="E3" s="2">
        <v>4</v>
      </c>
      <c r="F3" s="3">
        <v>800</v>
      </c>
      <c r="G3" s="7">
        <v>3200</v>
      </c>
    </row>
    <row r="4" spans="1:7" x14ac:dyDescent="0.25">
      <c r="A4" s="6">
        <v>45762</v>
      </c>
      <c r="B4" s="2" t="s">
        <v>10</v>
      </c>
      <c r="C4" s="2" t="s">
        <v>8</v>
      </c>
      <c r="D4" s="2" t="s">
        <v>17</v>
      </c>
      <c r="E4" s="2">
        <v>6</v>
      </c>
      <c r="F4" s="3">
        <v>715</v>
      </c>
      <c r="G4" s="7">
        <v>4290</v>
      </c>
    </row>
    <row r="5" spans="1:7" x14ac:dyDescent="0.25">
      <c r="A5" s="6">
        <v>45780</v>
      </c>
      <c r="B5" s="2" t="s">
        <v>16</v>
      </c>
      <c r="C5" s="2" t="s">
        <v>18</v>
      </c>
      <c r="D5" s="2" t="s">
        <v>9</v>
      </c>
      <c r="E5" s="2">
        <v>5</v>
      </c>
      <c r="F5" s="3">
        <v>925</v>
      </c>
      <c r="G5" s="7">
        <v>4625</v>
      </c>
    </row>
    <row r="6" spans="1:7" x14ac:dyDescent="0.25">
      <c r="A6" s="6">
        <v>45762</v>
      </c>
      <c r="B6" s="2" t="s">
        <v>14</v>
      </c>
      <c r="C6" s="2" t="s">
        <v>15</v>
      </c>
      <c r="D6" s="2" t="s">
        <v>9</v>
      </c>
      <c r="E6" s="2">
        <v>5</v>
      </c>
      <c r="F6" s="3">
        <v>905</v>
      </c>
      <c r="G6" s="7">
        <v>4525</v>
      </c>
    </row>
    <row r="7" spans="1:7" x14ac:dyDescent="0.25">
      <c r="A7" s="6">
        <v>45705</v>
      </c>
      <c r="B7" s="2" t="s">
        <v>7</v>
      </c>
      <c r="C7" s="2" t="s">
        <v>18</v>
      </c>
      <c r="D7" s="2" t="s">
        <v>17</v>
      </c>
      <c r="E7" s="2">
        <v>9</v>
      </c>
      <c r="F7" s="3">
        <v>999</v>
      </c>
      <c r="G7" s="7">
        <v>8991</v>
      </c>
    </row>
    <row r="8" spans="1:7" x14ac:dyDescent="0.25">
      <c r="A8" s="6">
        <v>45667</v>
      </c>
      <c r="B8" s="2" t="s">
        <v>16</v>
      </c>
      <c r="C8" s="2" t="s">
        <v>18</v>
      </c>
      <c r="D8" s="2" t="s">
        <v>9</v>
      </c>
      <c r="E8" s="2">
        <v>1</v>
      </c>
      <c r="F8" s="3">
        <v>747</v>
      </c>
      <c r="G8" s="7">
        <v>747</v>
      </c>
    </row>
    <row r="9" spans="1:7" x14ac:dyDescent="0.25">
      <c r="A9" s="6">
        <v>45824</v>
      </c>
      <c r="B9" s="2" t="s">
        <v>14</v>
      </c>
      <c r="C9" s="2" t="s">
        <v>15</v>
      </c>
      <c r="D9" s="2" t="s">
        <v>12</v>
      </c>
      <c r="E9" s="2">
        <v>3</v>
      </c>
      <c r="F9" s="3">
        <v>333</v>
      </c>
      <c r="G9" s="7">
        <v>999</v>
      </c>
    </row>
    <row r="10" spans="1:7" x14ac:dyDescent="0.25">
      <c r="A10" s="6">
        <v>45688</v>
      </c>
      <c r="B10" s="2" t="s">
        <v>14</v>
      </c>
      <c r="C10" s="2" t="s">
        <v>18</v>
      </c>
      <c r="D10" s="2" t="s">
        <v>13</v>
      </c>
      <c r="E10" s="2">
        <v>7</v>
      </c>
      <c r="F10" s="3">
        <v>435</v>
      </c>
      <c r="G10" s="7">
        <v>3045</v>
      </c>
    </row>
    <row r="11" spans="1:7" x14ac:dyDescent="0.25">
      <c r="A11" s="6">
        <v>45795</v>
      </c>
      <c r="B11" s="2" t="s">
        <v>16</v>
      </c>
      <c r="C11" s="2" t="s">
        <v>15</v>
      </c>
      <c r="D11" s="2" t="s">
        <v>13</v>
      </c>
      <c r="E11" s="2">
        <v>7</v>
      </c>
      <c r="F11" s="3">
        <v>347</v>
      </c>
      <c r="G11" s="7">
        <v>2429</v>
      </c>
    </row>
    <row r="12" spans="1:7" x14ac:dyDescent="0.25">
      <c r="A12" s="6">
        <v>45695</v>
      </c>
      <c r="B12" s="2" t="s">
        <v>7</v>
      </c>
      <c r="C12" s="2" t="s">
        <v>8</v>
      </c>
      <c r="D12" s="2" t="s">
        <v>17</v>
      </c>
      <c r="E12" s="2">
        <v>2</v>
      </c>
      <c r="F12" s="3">
        <v>921</v>
      </c>
      <c r="G12" s="7">
        <v>1842</v>
      </c>
    </row>
    <row r="13" spans="1:7" x14ac:dyDescent="0.25">
      <c r="A13" s="6">
        <v>45677</v>
      </c>
      <c r="B13" s="2" t="s">
        <v>7</v>
      </c>
      <c r="C13" s="2" t="s">
        <v>18</v>
      </c>
      <c r="D13" s="2" t="s">
        <v>17</v>
      </c>
      <c r="E13" s="2">
        <v>4</v>
      </c>
      <c r="F13" s="3">
        <v>459</v>
      </c>
      <c r="G13" s="7">
        <v>1836</v>
      </c>
    </row>
    <row r="14" spans="1:7" x14ac:dyDescent="0.25">
      <c r="A14" s="6">
        <v>45739</v>
      </c>
      <c r="B14" s="2" t="s">
        <v>14</v>
      </c>
      <c r="C14" s="2" t="s">
        <v>15</v>
      </c>
      <c r="D14" s="2" t="s">
        <v>12</v>
      </c>
      <c r="E14" s="2">
        <v>8</v>
      </c>
      <c r="F14" s="3">
        <v>963</v>
      </c>
      <c r="G14" s="7">
        <v>7704</v>
      </c>
    </row>
    <row r="15" spans="1:7" x14ac:dyDescent="0.25">
      <c r="A15" s="6">
        <v>45741</v>
      </c>
      <c r="B15" s="2" t="s">
        <v>14</v>
      </c>
      <c r="C15" s="2" t="s">
        <v>11</v>
      </c>
      <c r="D15" s="2" t="s">
        <v>12</v>
      </c>
      <c r="E15" s="2">
        <v>10</v>
      </c>
      <c r="F15" s="3">
        <v>496</v>
      </c>
      <c r="G15" s="7">
        <v>4960</v>
      </c>
    </row>
    <row r="16" spans="1:7" x14ac:dyDescent="0.25">
      <c r="A16" s="6">
        <v>45804</v>
      </c>
      <c r="B16" s="2" t="s">
        <v>7</v>
      </c>
      <c r="C16" s="2" t="s">
        <v>8</v>
      </c>
      <c r="D16" s="2" t="s">
        <v>12</v>
      </c>
      <c r="E16" s="2">
        <v>5</v>
      </c>
      <c r="F16" s="3">
        <v>363</v>
      </c>
      <c r="G16" s="7">
        <v>1815</v>
      </c>
    </row>
    <row r="17" spans="1:7" x14ac:dyDescent="0.25">
      <c r="A17" s="6">
        <v>45670</v>
      </c>
      <c r="B17" s="2" t="s">
        <v>10</v>
      </c>
      <c r="C17" s="2" t="s">
        <v>18</v>
      </c>
      <c r="D17" s="2" t="s">
        <v>9</v>
      </c>
      <c r="E17" s="2">
        <v>8</v>
      </c>
      <c r="F17" s="3">
        <v>781</v>
      </c>
      <c r="G17" s="7">
        <v>6248</v>
      </c>
    </row>
    <row r="18" spans="1:7" x14ac:dyDescent="0.25">
      <c r="A18" s="6">
        <v>45752</v>
      </c>
      <c r="B18" s="2" t="s">
        <v>7</v>
      </c>
      <c r="C18" s="2" t="s">
        <v>18</v>
      </c>
      <c r="D18" s="2" t="s">
        <v>17</v>
      </c>
      <c r="E18" s="2">
        <v>7</v>
      </c>
      <c r="F18" s="3">
        <v>500</v>
      </c>
      <c r="G18" s="7">
        <v>3500</v>
      </c>
    </row>
    <row r="19" spans="1:7" x14ac:dyDescent="0.25">
      <c r="A19" s="6">
        <v>45690</v>
      </c>
      <c r="B19" s="2" t="s">
        <v>14</v>
      </c>
      <c r="C19" s="2" t="s">
        <v>8</v>
      </c>
      <c r="D19" s="2" t="s">
        <v>17</v>
      </c>
      <c r="E19" s="2">
        <v>4</v>
      </c>
      <c r="F19" s="3">
        <v>702</v>
      </c>
      <c r="G19" s="7">
        <v>2808</v>
      </c>
    </row>
    <row r="20" spans="1:7" x14ac:dyDescent="0.25">
      <c r="A20" s="6">
        <v>45720</v>
      </c>
      <c r="B20" s="2" t="s">
        <v>7</v>
      </c>
      <c r="C20" s="2" t="s">
        <v>8</v>
      </c>
      <c r="D20" s="2" t="s">
        <v>13</v>
      </c>
      <c r="E20" s="2">
        <v>2</v>
      </c>
      <c r="F20" s="3">
        <v>641</v>
      </c>
      <c r="G20" s="7">
        <v>1282</v>
      </c>
    </row>
    <row r="21" spans="1:7" x14ac:dyDescent="0.25">
      <c r="A21" s="6">
        <v>45738</v>
      </c>
      <c r="B21" s="2" t="s">
        <v>10</v>
      </c>
      <c r="C21" s="2" t="s">
        <v>11</v>
      </c>
      <c r="D21" s="2" t="s">
        <v>13</v>
      </c>
      <c r="E21" s="2">
        <v>7</v>
      </c>
      <c r="F21" s="3">
        <v>526</v>
      </c>
      <c r="G21" s="7">
        <v>3682</v>
      </c>
    </row>
    <row r="22" spans="1:7" x14ac:dyDescent="0.25">
      <c r="A22" s="6">
        <v>45740</v>
      </c>
      <c r="B22" s="2" t="s">
        <v>14</v>
      </c>
      <c r="C22" s="2" t="s">
        <v>15</v>
      </c>
      <c r="D22" s="2" t="s">
        <v>17</v>
      </c>
      <c r="E22" s="2">
        <v>8</v>
      </c>
      <c r="F22" s="3">
        <v>285</v>
      </c>
      <c r="G22" s="7">
        <v>2280</v>
      </c>
    </row>
    <row r="23" spans="1:7" x14ac:dyDescent="0.25">
      <c r="A23" s="6">
        <v>45733</v>
      </c>
      <c r="B23" s="2" t="s">
        <v>7</v>
      </c>
      <c r="C23" s="2" t="s">
        <v>8</v>
      </c>
      <c r="D23" s="2" t="s">
        <v>17</v>
      </c>
      <c r="E23" s="2">
        <v>7</v>
      </c>
      <c r="F23" s="3">
        <v>818</v>
      </c>
      <c r="G23" s="7">
        <v>5726</v>
      </c>
    </row>
    <row r="24" spans="1:7" x14ac:dyDescent="0.25">
      <c r="A24" s="6">
        <v>45792</v>
      </c>
      <c r="B24" s="2" t="s">
        <v>14</v>
      </c>
      <c r="C24" s="2" t="s">
        <v>18</v>
      </c>
      <c r="D24" s="2" t="s">
        <v>13</v>
      </c>
      <c r="E24" s="2">
        <v>9</v>
      </c>
      <c r="F24" s="3">
        <v>732</v>
      </c>
      <c r="G24" s="7">
        <v>6588</v>
      </c>
    </row>
    <row r="25" spans="1:7" x14ac:dyDescent="0.25">
      <c r="A25" s="6">
        <v>45768</v>
      </c>
      <c r="B25" s="2" t="s">
        <v>16</v>
      </c>
      <c r="C25" s="2" t="s">
        <v>11</v>
      </c>
      <c r="D25" s="2" t="s">
        <v>17</v>
      </c>
      <c r="E25" s="2">
        <v>5</v>
      </c>
      <c r="F25" s="3">
        <v>472</v>
      </c>
      <c r="G25" s="7">
        <v>2360</v>
      </c>
    </row>
    <row r="26" spans="1:7" x14ac:dyDescent="0.25">
      <c r="A26" s="6">
        <v>45832</v>
      </c>
      <c r="B26" s="2" t="s">
        <v>16</v>
      </c>
      <c r="C26" s="2" t="s">
        <v>15</v>
      </c>
      <c r="D26" s="2" t="s">
        <v>13</v>
      </c>
      <c r="E26" s="2">
        <v>7</v>
      </c>
      <c r="F26" s="3">
        <v>182</v>
      </c>
      <c r="G26" s="7">
        <v>1274</v>
      </c>
    </row>
    <row r="27" spans="1:7" x14ac:dyDescent="0.25">
      <c r="A27" s="6">
        <v>45661</v>
      </c>
      <c r="B27" s="2" t="s">
        <v>16</v>
      </c>
      <c r="C27" s="2" t="s">
        <v>8</v>
      </c>
      <c r="D27" s="2" t="s">
        <v>17</v>
      </c>
      <c r="E27" s="2">
        <v>3</v>
      </c>
      <c r="F27" s="3">
        <v>278</v>
      </c>
      <c r="G27" s="7">
        <v>834</v>
      </c>
    </row>
    <row r="28" spans="1:7" x14ac:dyDescent="0.25">
      <c r="A28" s="6">
        <v>45700</v>
      </c>
      <c r="B28" s="2" t="s">
        <v>7</v>
      </c>
      <c r="C28" s="2" t="s">
        <v>11</v>
      </c>
      <c r="D28" s="2" t="s">
        <v>12</v>
      </c>
      <c r="E28" s="2">
        <v>2</v>
      </c>
      <c r="F28" s="3">
        <v>401</v>
      </c>
      <c r="G28" s="7">
        <v>802</v>
      </c>
    </row>
    <row r="29" spans="1:7" x14ac:dyDescent="0.25">
      <c r="A29" s="6">
        <v>45665</v>
      </c>
      <c r="B29" s="2" t="s">
        <v>16</v>
      </c>
      <c r="C29" s="2" t="s">
        <v>18</v>
      </c>
      <c r="D29" s="2" t="s">
        <v>9</v>
      </c>
      <c r="E29" s="2">
        <v>7</v>
      </c>
      <c r="F29" s="3">
        <v>336</v>
      </c>
      <c r="G29" s="7">
        <v>2352</v>
      </c>
    </row>
    <row r="30" spans="1:7" x14ac:dyDescent="0.25">
      <c r="A30" s="6">
        <v>45834</v>
      </c>
      <c r="B30" s="2" t="s">
        <v>16</v>
      </c>
      <c r="C30" s="2" t="s">
        <v>11</v>
      </c>
      <c r="D30" s="2" t="s">
        <v>17</v>
      </c>
      <c r="E30" s="2">
        <v>4</v>
      </c>
      <c r="F30" s="3">
        <v>416</v>
      </c>
      <c r="G30" s="7">
        <v>1664</v>
      </c>
    </row>
    <row r="31" spans="1:7" x14ac:dyDescent="0.25">
      <c r="A31" s="6">
        <v>45698</v>
      </c>
      <c r="B31" s="2" t="s">
        <v>16</v>
      </c>
      <c r="C31" s="2" t="s">
        <v>18</v>
      </c>
      <c r="D31" s="2" t="s">
        <v>12</v>
      </c>
      <c r="E31" s="2">
        <v>7</v>
      </c>
      <c r="F31" s="3">
        <v>783</v>
      </c>
      <c r="G31" s="7">
        <v>5481</v>
      </c>
    </row>
    <row r="32" spans="1:7" x14ac:dyDescent="0.25">
      <c r="A32" s="6">
        <v>45725</v>
      </c>
      <c r="B32" s="2" t="s">
        <v>7</v>
      </c>
      <c r="C32" s="2" t="s">
        <v>11</v>
      </c>
      <c r="D32" s="2" t="s">
        <v>17</v>
      </c>
      <c r="E32" s="2">
        <v>2</v>
      </c>
      <c r="F32" s="3">
        <v>887</v>
      </c>
      <c r="G32" s="7">
        <v>1774</v>
      </c>
    </row>
    <row r="33" spans="1:7" x14ac:dyDescent="0.25">
      <c r="A33" s="6">
        <v>45753</v>
      </c>
      <c r="B33" s="2" t="s">
        <v>7</v>
      </c>
      <c r="C33" s="2" t="s">
        <v>11</v>
      </c>
      <c r="D33" s="2" t="s">
        <v>17</v>
      </c>
      <c r="E33" s="2">
        <v>2</v>
      </c>
      <c r="F33" s="3">
        <v>205</v>
      </c>
      <c r="G33" s="7">
        <v>410</v>
      </c>
    </row>
    <row r="34" spans="1:7" x14ac:dyDescent="0.25">
      <c r="A34" s="6">
        <v>45819</v>
      </c>
      <c r="B34" s="2" t="s">
        <v>16</v>
      </c>
      <c r="C34" s="2" t="s">
        <v>18</v>
      </c>
      <c r="D34" s="2" t="s">
        <v>13</v>
      </c>
      <c r="E34" s="2">
        <v>5</v>
      </c>
      <c r="F34" s="3">
        <v>205</v>
      </c>
      <c r="G34" s="7">
        <v>1025</v>
      </c>
    </row>
    <row r="35" spans="1:7" x14ac:dyDescent="0.25">
      <c r="A35" s="6">
        <v>45712</v>
      </c>
      <c r="B35" s="2" t="s">
        <v>7</v>
      </c>
      <c r="C35" s="2" t="s">
        <v>15</v>
      </c>
      <c r="D35" s="2" t="s">
        <v>17</v>
      </c>
      <c r="E35" s="2">
        <v>2</v>
      </c>
      <c r="F35" s="3">
        <v>283</v>
      </c>
      <c r="G35" s="7">
        <v>566</v>
      </c>
    </row>
    <row r="36" spans="1:7" x14ac:dyDescent="0.25">
      <c r="A36" s="6">
        <v>45780</v>
      </c>
      <c r="B36" s="2" t="s">
        <v>14</v>
      </c>
      <c r="C36" s="2" t="s">
        <v>15</v>
      </c>
      <c r="D36" s="2" t="s">
        <v>12</v>
      </c>
      <c r="E36" s="2">
        <v>9</v>
      </c>
      <c r="F36" s="3">
        <v>681</v>
      </c>
      <c r="G36" s="7">
        <v>6129</v>
      </c>
    </row>
    <row r="37" spans="1:7" x14ac:dyDescent="0.25">
      <c r="A37" s="6">
        <v>45824</v>
      </c>
      <c r="B37" s="2" t="s">
        <v>16</v>
      </c>
      <c r="C37" s="2" t="s">
        <v>8</v>
      </c>
      <c r="D37" s="2" t="s">
        <v>9</v>
      </c>
      <c r="E37" s="2">
        <v>2</v>
      </c>
      <c r="F37" s="3">
        <v>359</v>
      </c>
      <c r="G37" s="7">
        <v>718</v>
      </c>
    </row>
    <row r="38" spans="1:7" x14ac:dyDescent="0.25">
      <c r="A38" s="6">
        <v>45735</v>
      </c>
      <c r="B38" s="2" t="s">
        <v>14</v>
      </c>
      <c r="C38" s="2" t="s">
        <v>15</v>
      </c>
      <c r="D38" s="2" t="s">
        <v>13</v>
      </c>
      <c r="E38" s="2">
        <v>6</v>
      </c>
      <c r="F38" s="3">
        <v>949</v>
      </c>
      <c r="G38" s="7">
        <v>5694</v>
      </c>
    </row>
    <row r="39" spans="1:7" x14ac:dyDescent="0.25">
      <c r="A39" s="6">
        <v>45737</v>
      </c>
      <c r="B39" s="2" t="s">
        <v>7</v>
      </c>
      <c r="C39" s="2" t="s">
        <v>11</v>
      </c>
      <c r="D39" s="2" t="s">
        <v>17</v>
      </c>
      <c r="E39" s="2">
        <v>6</v>
      </c>
      <c r="F39" s="3">
        <v>417</v>
      </c>
      <c r="G39" s="7">
        <v>2502</v>
      </c>
    </row>
    <row r="40" spans="1:7" x14ac:dyDescent="0.25">
      <c r="A40" s="6">
        <v>45801</v>
      </c>
      <c r="B40" s="2" t="s">
        <v>14</v>
      </c>
      <c r="C40" s="2" t="s">
        <v>18</v>
      </c>
      <c r="D40" s="2" t="s">
        <v>12</v>
      </c>
      <c r="E40" s="2">
        <v>8</v>
      </c>
      <c r="F40" s="3">
        <v>521</v>
      </c>
      <c r="G40" s="7">
        <v>4168</v>
      </c>
    </row>
    <row r="41" spans="1:7" x14ac:dyDescent="0.25">
      <c r="A41" s="6">
        <v>45772</v>
      </c>
      <c r="B41" s="2" t="s">
        <v>14</v>
      </c>
      <c r="C41" s="2" t="s">
        <v>8</v>
      </c>
      <c r="D41" s="2" t="s">
        <v>13</v>
      </c>
      <c r="E41" s="2">
        <v>2</v>
      </c>
      <c r="F41" s="3">
        <v>651</v>
      </c>
      <c r="G41" s="7">
        <v>1302</v>
      </c>
    </row>
    <row r="42" spans="1:7" x14ac:dyDescent="0.25">
      <c r="A42" s="6">
        <v>45811</v>
      </c>
      <c r="B42" s="2" t="s">
        <v>7</v>
      </c>
      <c r="C42" s="2" t="s">
        <v>15</v>
      </c>
      <c r="D42" s="2" t="s">
        <v>17</v>
      </c>
      <c r="E42" s="2">
        <v>7</v>
      </c>
      <c r="F42" s="3">
        <v>256</v>
      </c>
      <c r="G42" s="7">
        <v>1792</v>
      </c>
    </row>
    <row r="43" spans="1:7" x14ac:dyDescent="0.25">
      <c r="A43" s="6">
        <v>45658</v>
      </c>
      <c r="B43" s="2" t="s">
        <v>14</v>
      </c>
      <c r="C43" s="2" t="s">
        <v>15</v>
      </c>
      <c r="D43" s="2" t="s">
        <v>13</v>
      </c>
      <c r="E43" s="2">
        <v>2</v>
      </c>
      <c r="F43" s="3">
        <v>740</v>
      </c>
      <c r="G43" s="7">
        <v>1480</v>
      </c>
    </row>
    <row r="44" spans="1:7" x14ac:dyDescent="0.25">
      <c r="A44" s="6">
        <v>45671</v>
      </c>
      <c r="B44" s="2" t="s">
        <v>7</v>
      </c>
      <c r="C44" s="2" t="s">
        <v>11</v>
      </c>
      <c r="D44" s="2" t="s">
        <v>12</v>
      </c>
      <c r="E44" s="2">
        <v>8</v>
      </c>
      <c r="F44" s="3">
        <v>828</v>
      </c>
      <c r="G44" s="7">
        <v>6624</v>
      </c>
    </row>
    <row r="45" spans="1:7" x14ac:dyDescent="0.25">
      <c r="A45" s="6">
        <v>45793</v>
      </c>
      <c r="B45" s="2" t="s">
        <v>7</v>
      </c>
      <c r="C45" s="2" t="s">
        <v>18</v>
      </c>
      <c r="D45" s="2" t="s">
        <v>12</v>
      </c>
      <c r="E45" s="2">
        <v>5</v>
      </c>
      <c r="F45" s="3">
        <v>737</v>
      </c>
      <c r="G45" s="7">
        <v>3685</v>
      </c>
    </row>
    <row r="46" spans="1:7" x14ac:dyDescent="0.25">
      <c r="A46" s="6">
        <v>45682</v>
      </c>
      <c r="B46" s="2" t="s">
        <v>16</v>
      </c>
      <c r="C46" s="2" t="s">
        <v>18</v>
      </c>
      <c r="D46" s="2" t="s">
        <v>13</v>
      </c>
      <c r="E46" s="2">
        <v>5</v>
      </c>
      <c r="F46" s="3">
        <v>376</v>
      </c>
      <c r="G46" s="7">
        <v>1880</v>
      </c>
    </row>
    <row r="47" spans="1:7" x14ac:dyDescent="0.25">
      <c r="A47" s="6">
        <v>45676</v>
      </c>
      <c r="B47" s="2" t="s">
        <v>16</v>
      </c>
      <c r="C47" s="2" t="s">
        <v>11</v>
      </c>
      <c r="D47" s="2" t="s">
        <v>13</v>
      </c>
      <c r="E47" s="2">
        <v>8</v>
      </c>
      <c r="F47" s="3">
        <v>714</v>
      </c>
      <c r="G47" s="7">
        <v>5712</v>
      </c>
    </row>
    <row r="48" spans="1:7" x14ac:dyDescent="0.25">
      <c r="A48" s="6">
        <v>45700</v>
      </c>
      <c r="B48" s="2" t="s">
        <v>10</v>
      </c>
      <c r="C48" s="2" t="s">
        <v>18</v>
      </c>
      <c r="D48" s="2" t="s">
        <v>17</v>
      </c>
      <c r="E48" s="2">
        <v>6</v>
      </c>
      <c r="F48" s="3">
        <v>741</v>
      </c>
      <c r="G48" s="7">
        <v>4446</v>
      </c>
    </row>
    <row r="49" spans="1:7" x14ac:dyDescent="0.25">
      <c r="A49" s="6">
        <v>45762</v>
      </c>
      <c r="B49" s="2" t="s">
        <v>14</v>
      </c>
      <c r="C49" s="2" t="s">
        <v>18</v>
      </c>
      <c r="D49" s="2" t="s">
        <v>17</v>
      </c>
      <c r="E49" s="2">
        <v>6</v>
      </c>
      <c r="F49" s="3">
        <v>290</v>
      </c>
      <c r="G49" s="7">
        <v>1740</v>
      </c>
    </row>
    <row r="50" spans="1:7" x14ac:dyDescent="0.25">
      <c r="A50" s="6">
        <v>45799</v>
      </c>
      <c r="B50" s="2" t="s">
        <v>10</v>
      </c>
      <c r="C50" s="2" t="s">
        <v>8</v>
      </c>
      <c r="D50" s="2" t="s">
        <v>12</v>
      </c>
      <c r="E50" s="2">
        <v>3</v>
      </c>
      <c r="F50" s="3">
        <v>471</v>
      </c>
      <c r="G50" s="7">
        <v>1413</v>
      </c>
    </row>
    <row r="51" spans="1:7" x14ac:dyDescent="0.25">
      <c r="A51" s="8">
        <v>45772</v>
      </c>
      <c r="B51" s="9" t="s">
        <v>10</v>
      </c>
      <c r="C51" s="9" t="s">
        <v>11</v>
      </c>
      <c r="D51" s="9" t="s">
        <v>17</v>
      </c>
      <c r="E51" s="9">
        <v>8</v>
      </c>
      <c r="F51" s="10">
        <v>802</v>
      </c>
      <c r="G51" s="11">
        <v>6416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workbookViewId="0">
      <selection activeCell="J10" sqref="J10"/>
    </sheetView>
  </sheetViews>
  <sheetFormatPr defaultRowHeight="15" x14ac:dyDescent="0.25"/>
  <cols>
    <col min="2" max="2" width="9.28515625" customWidth="1"/>
    <col min="3" max="3" width="10" customWidth="1"/>
    <col min="4" max="4" width="13.85546875" customWidth="1"/>
    <col min="5" max="5" width="12.7109375" customWidth="1"/>
    <col min="6" max="6" width="12.42578125" customWidth="1"/>
    <col min="7" max="7" width="12.28515625" customWidth="1"/>
  </cols>
  <sheetData>
    <row r="1" spans="1:7" x14ac:dyDescent="0.25">
      <c r="A1" t="s">
        <v>0</v>
      </c>
      <c r="B1" t="s">
        <v>1</v>
      </c>
      <c r="C1" t="s">
        <v>2</v>
      </c>
      <c r="D1" t="s">
        <v>3</v>
      </c>
      <c r="E1" t="s">
        <v>4</v>
      </c>
      <c r="F1" t="s">
        <v>5</v>
      </c>
      <c r="G1" t="s">
        <v>6</v>
      </c>
    </row>
    <row r="2" spans="1:7" x14ac:dyDescent="0.25">
      <c r="A2" s="24">
        <v>45762</v>
      </c>
      <c r="B2" t="s">
        <v>14</v>
      </c>
      <c r="C2" t="s">
        <v>18</v>
      </c>
      <c r="D2" t="s">
        <v>17</v>
      </c>
      <c r="E2">
        <v>6</v>
      </c>
      <c r="F2">
        <v>290</v>
      </c>
      <c r="G2">
        <v>1740</v>
      </c>
    </row>
    <row r="3" spans="1:7" x14ac:dyDescent="0.25">
      <c r="A3" s="24">
        <v>45741</v>
      </c>
      <c r="B3" t="s">
        <v>10</v>
      </c>
      <c r="C3" t="s">
        <v>18</v>
      </c>
      <c r="D3" t="s">
        <v>9</v>
      </c>
      <c r="E3">
        <v>4</v>
      </c>
      <c r="F3">
        <v>800</v>
      </c>
      <c r="G3">
        <v>3200</v>
      </c>
    </row>
    <row r="4" spans="1:7" x14ac:dyDescent="0.25">
      <c r="A4" s="24">
        <v>45700</v>
      </c>
      <c r="B4" t="s">
        <v>10</v>
      </c>
      <c r="C4" t="s">
        <v>18</v>
      </c>
      <c r="D4" t="s">
        <v>17</v>
      </c>
      <c r="E4">
        <v>6</v>
      </c>
      <c r="F4">
        <v>741</v>
      </c>
      <c r="G4">
        <v>4446</v>
      </c>
    </row>
    <row r="5" spans="1:7" x14ac:dyDescent="0.25">
      <c r="A5" s="24">
        <v>45780</v>
      </c>
      <c r="B5" t="s">
        <v>16</v>
      </c>
      <c r="C5" t="s">
        <v>18</v>
      </c>
      <c r="D5" t="s">
        <v>9</v>
      </c>
      <c r="E5">
        <v>5</v>
      </c>
      <c r="F5">
        <v>925</v>
      </c>
      <c r="G5">
        <v>4625</v>
      </c>
    </row>
    <row r="6" spans="1:7" x14ac:dyDescent="0.25">
      <c r="A6" s="24">
        <v>45682</v>
      </c>
      <c r="B6" t="s">
        <v>16</v>
      </c>
      <c r="C6" t="s">
        <v>18</v>
      </c>
      <c r="D6" t="s">
        <v>13</v>
      </c>
      <c r="E6">
        <v>5</v>
      </c>
      <c r="F6">
        <v>376</v>
      </c>
      <c r="G6">
        <v>1880</v>
      </c>
    </row>
    <row r="7" spans="1:7" x14ac:dyDescent="0.25">
      <c r="A7" s="24">
        <v>45705</v>
      </c>
      <c r="B7" t="s">
        <v>7</v>
      </c>
      <c r="C7" t="s">
        <v>18</v>
      </c>
      <c r="D7" t="s">
        <v>17</v>
      </c>
      <c r="E7">
        <v>9</v>
      </c>
      <c r="F7">
        <v>999</v>
      </c>
      <c r="G7">
        <v>8991</v>
      </c>
    </row>
    <row r="8" spans="1:7" x14ac:dyDescent="0.25">
      <c r="A8" s="24">
        <v>45667</v>
      </c>
      <c r="B8" t="s">
        <v>16</v>
      </c>
      <c r="C8" t="s">
        <v>18</v>
      </c>
      <c r="D8" t="s">
        <v>9</v>
      </c>
      <c r="E8">
        <v>1</v>
      </c>
      <c r="F8">
        <v>747</v>
      </c>
      <c r="G8">
        <v>747</v>
      </c>
    </row>
    <row r="9" spans="1:7" x14ac:dyDescent="0.25">
      <c r="A9" s="24">
        <v>45793</v>
      </c>
      <c r="B9" t="s">
        <v>7</v>
      </c>
      <c r="C9" t="s">
        <v>18</v>
      </c>
      <c r="D9" t="s">
        <v>12</v>
      </c>
      <c r="E9">
        <v>5</v>
      </c>
      <c r="F9">
        <v>737</v>
      </c>
      <c r="G9">
        <v>3685</v>
      </c>
    </row>
    <row r="10" spans="1:7" x14ac:dyDescent="0.25">
      <c r="A10" s="24">
        <v>45688</v>
      </c>
      <c r="B10" t="s">
        <v>14</v>
      </c>
      <c r="C10" t="s">
        <v>18</v>
      </c>
      <c r="D10" t="s">
        <v>13</v>
      </c>
      <c r="E10">
        <v>7</v>
      </c>
      <c r="F10">
        <v>435</v>
      </c>
      <c r="G10">
        <v>3045</v>
      </c>
    </row>
    <row r="11" spans="1:7" x14ac:dyDescent="0.25">
      <c r="A11" s="24">
        <v>45801</v>
      </c>
      <c r="B11" t="s">
        <v>14</v>
      </c>
      <c r="C11" t="s">
        <v>18</v>
      </c>
      <c r="D11" t="s">
        <v>12</v>
      </c>
      <c r="E11">
        <v>8</v>
      </c>
      <c r="F11">
        <v>521</v>
      </c>
      <c r="G11">
        <v>4168</v>
      </c>
    </row>
    <row r="12" spans="1:7" x14ac:dyDescent="0.25">
      <c r="A12" s="24">
        <v>45819</v>
      </c>
      <c r="B12" t="s">
        <v>16</v>
      </c>
      <c r="C12" t="s">
        <v>18</v>
      </c>
      <c r="D12" t="s">
        <v>13</v>
      </c>
      <c r="E12">
        <v>5</v>
      </c>
      <c r="F12">
        <v>205</v>
      </c>
      <c r="G12">
        <v>1025</v>
      </c>
    </row>
    <row r="13" spans="1:7" x14ac:dyDescent="0.25">
      <c r="A13" s="24">
        <v>45677</v>
      </c>
      <c r="B13" t="s">
        <v>7</v>
      </c>
      <c r="C13" t="s">
        <v>18</v>
      </c>
      <c r="D13" t="s">
        <v>17</v>
      </c>
      <c r="E13">
        <v>4</v>
      </c>
      <c r="F13">
        <v>459</v>
      </c>
      <c r="G13">
        <v>1836</v>
      </c>
    </row>
    <row r="14" spans="1:7" x14ac:dyDescent="0.25">
      <c r="A14" s="24">
        <v>45698</v>
      </c>
      <c r="B14" t="s">
        <v>16</v>
      </c>
      <c r="C14" t="s">
        <v>18</v>
      </c>
      <c r="D14" t="s">
        <v>12</v>
      </c>
      <c r="E14">
        <v>7</v>
      </c>
      <c r="F14">
        <v>783</v>
      </c>
      <c r="G14">
        <v>5481</v>
      </c>
    </row>
    <row r="15" spans="1:7" x14ac:dyDescent="0.25">
      <c r="A15" s="24">
        <v>45665</v>
      </c>
      <c r="B15" t="s">
        <v>16</v>
      </c>
      <c r="C15" t="s">
        <v>18</v>
      </c>
      <c r="D15" t="s">
        <v>9</v>
      </c>
      <c r="E15">
        <v>7</v>
      </c>
      <c r="F15">
        <v>336</v>
      </c>
      <c r="G15">
        <v>2352</v>
      </c>
    </row>
    <row r="16" spans="1:7" x14ac:dyDescent="0.25">
      <c r="A16" s="24">
        <v>45792</v>
      </c>
      <c r="B16" t="s">
        <v>14</v>
      </c>
      <c r="C16" t="s">
        <v>18</v>
      </c>
      <c r="D16" t="s">
        <v>13</v>
      </c>
      <c r="E16">
        <v>9</v>
      </c>
      <c r="F16">
        <v>732</v>
      </c>
      <c r="G16">
        <v>6588</v>
      </c>
    </row>
    <row r="17" spans="1:7" x14ac:dyDescent="0.25">
      <c r="A17" s="24">
        <v>45670</v>
      </c>
      <c r="B17" t="s">
        <v>10</v>
      </c>
      <c r="C17" t="s">
        <v>18</v>
      </c>
      <c r="D17" t="s">
        <v>9</v>
      </c>
      <c r="E17">
        <v>8</v>
      </c>
      <c r="F17">
        <v>781</v>
      </c>
      <c r="G17">
        <v>6248</v>
      </c>
    </row>
    <row r="18" spans="1:7" x14ac:dyDescent="0.25">
      <c r="A18" s="24">
        <v>45752</v>
      </c>
      <c r="B18" t="s">
        <v>7</v>
      </c>
      <c r="C18" t="s">
        <v>18</v>
      </c>
      <c r="D18" t="s">
        <v>17</v>
      </c>
      <c r="E18">
        <v>7</v>
      </c>
      <c r="F18">
        <v>500</v>
      </c>
      <c r="G18">
        <v>3500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13"/>
  <sheetViews>
    <sheetView zoomScale="145" zoomScaleNormal="145" workbookViewId="0">
      <selection activeCell="A4" sqref="A4"/>
    </sheetView>
  </sheetViews>
  <sheetFormatPr defaultRowHeight="15" x14ac:dyDescent="0.25"/>
  <cols>
    <col min="1" max="1" width="11.28515625" customWidth="1"/>
    <col min="2" max="2" width="16.85546875" bestFit="1" customWidth="1"/>
    <col min="4" max="4" width="14" bestFit="1" customWidth="1"/>
    <col min="5" max="5" width="16.85546875" bestFit="1" customWidth="1"/>
    <col min="7" max="7" width="11.28515625" customWidth="1"/>
    <col min="8" max="9" width="16.85546875" customWidth="1"/>
    <col min="10" max="10" width="18.42578125" customWidth="1"/>
    <col min="11" max="14" width="10.140625" customWidth="1"/>
    <col min="15" max="15" width="11.28515625" bestFit="1" customWidth="1"/>
  </cols>
  <sheetData>
    <row r="2" spans="1:15" x14ac:dyDescent="0.25">
      <c r="A2" s="47" t="s">
        <v>23</v>
      </c>
      <c r="B2" s="47"/>
      <c r="D2" s="17" t="s">
        <v>3</v>
      </c>
      <c r="E2" s="18" t="s">
        <v>20</v>
      </c>
      <c r="G2" s="17" t="s">
        <v>1</v>
      </c>
      <c r="H2" s="18" t="s">
        <v>20</v>
      </c>
      <c r="J2" s="17" t="s">
        <v>21</v>
      </c>
      <c r="K2" s="17" t="s">
        <v>2</v>
      </c>
      <c r="L2" s="18"/>
      <c r="M2" s="18"/>
      <c r="N2" s="18"/>
      <c r="O2" s="18"/>
    </row>
    <row r="3" spans="1:15" x14ac:dyDescent="0.25">
      <c r="D3" s="20" t="s">
        <v>17</v>
      </c>
      <c r="E3" s="21">
        <v>55777</v>
      </c>
      <c r="G3" s="20" t="s">
        <v>14</v>
      </c>
      <c r="H3" s="21">
        <v>53422</v>
      </c>
      <c r="J3" s="17" t="s">
        <v>1</v>
      </c>
      <c r="K3" s="18" t="s">
        <v>11</v>
      </c>
      <c r="L3" s="18" t="s">
        <v>15</v>
      </c>
      <c r="M3" s="18" t="s">
        <v>8</v>
      </c>
      <c r="N3" s="18" t="s">
        <v>18</v>
      </c>
      <c r="O3" s="18" t="s">
        <v>19</v>
      </c>
    </row>
    <row r="4" spans="1:15" x14ac:dyDescent="0.25">
      <c r="A4" s="17" t="s">
        <v>2</v>
      </c>
      <c r="B4" s="18" t="s">
        <v>20</v>
      </c>
      <c r="D4" s="18" t="s">
        <v>12</v>
      </c>
      <c r="E4" s="19">
        <v>43780</v>
      </c>
      <c r="G4" s="18" t="s">
        <v>19</v>
      </c>
      <c r="H4" s="19">
        <v>53422</v>
      </c>
      <c r="J4" s="18" t="s">
        <v>16</v>
      </c>
      <c r="K4" s="19">
        <v>3</v>
      </c>
      <c r="L4" s="19">
        <v>2</v>
      </c>
      <c r="M4" s="19">
        <v>3</v>
      </c>
      <c r="N4" s="19">
        <v>6</v>
      </c>
      <c r="O4" s="19">
        <v>14</v>
      </c>
    </row>
    <row r="5" spans="1:15" x14ac:dyDescent="0.25">
      <c r="A5" s="20" t="s">
        <v>18</v>
      </c>
      <c r="B5" s="21">
        <v>63557</v>
      </c>
      <c r="D5" s="18" t="s">
        <v>13</v>
      </c>
      <c r="E5" s="19">
        <v>38732</v>
      </c>
      <c r="J5" s="18" t="s">
        <v>7</v>
      </c>
      <c r="K5" s="19">
        <v>5</v>
      </c>
      <c r="L5" s="19">
        <v>2</v>
      </c>
      <c r="M5" s="19">
        <v>4</v>
      </c>
      <c r="N5" s="19">
        <v>4</v>
      </c>
      <c r="O5" s="19">
        <v>15</v>
      </c>
    </row>
    <row r="6" spans="1:15" x14ac:dyDescent="0.25">
      <c r="A6" s="18" t="s">
        <v>11</v>
      </c>
      <c r="B6" s="19">
        <v>36906</v>
      </c>
      <c r="D6" s="18" t="s">
        <v>9</v>
      </c>
      <c r="E6" s="19">
        <v>22415</v>
      </c>
      <c r="J6" s="18" t="s">
        <v>10</v>
      </c>
      <c r="K6" s="19">
        <v>2</v>
      </c>
      <c r="L6" s="19"/>
      <c r="M6" s="19">
        <v>2</v>
      </c>
      <c r="N6" s="19">
        <v>3</v>
      </c>
      <c r="O6" s="19">
        <v>7</v>
      </c>
    </row>
    <row r="7" spans="1:15" x14ac:dyDescent="0.25">
      <c r="A7" s="18" t="s">
        <v>15</v>
      </c>
      <c r="B7" s="19">
        <v>34872</v>
      </c>
      <c r="D7" s="18" t="s">
        <v>19</v>
      </c>
      <c r="E7" s="19">
        <v>160704</v>
      </c>
      <c r="J7" s="18" t="s">
        <v>14</v>
      </c>
      <c r="K7" s="19">
        <v>1</v>
      </c>
      <c r="L7" s="19">
        <v>7</v>
      </c>
      <c r="M7" s="19">
        <v>2</v>
      </c>
      <c r="N7" s="19">
        <v>4</v>
      </c>
      <c r="O7" s="19">
        <v>14</v>
      </c>
    </row>
    <row r="8" spans="1:15" x14ac:dyDescent="0.25">
      <c r="A8" s="18" t="s">
        <v>8</v>
      </c>
      <c r="B8" s="19">
        <v>25369</v>
      </c>
    </row>
    <row r="9" spans="1:15" x14ac:dyDescent="0.25">
      <c r="A9" s="18" t="s">
        <v>19</v>
      </c>
      <c r="B9" s="19">
        <v>160704</v>
      </c>
    </row>
    <row r="12" spans="1:15" x14ac:dyDescent="0.25">
      <c r="G12" s="17" t="s">
        <v>22</v>
      </c>
      <c r="H12" s="18" t="s">
        <v>20</v>
      </c>
    </row>
    <row r="13" spans="1:15" x14ac:dyDescent="0.25">
      <c r="G13" s="18" t="s">
        <v>19</v>
      </c>
      <c r="H13" s="19"/>
    </row>
  </sheetData>
  <mergeCells count="1">
    <mergeCell ref="A2:B2"/>
  </mergeCells>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Dataset</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2026-01-19T05:42:20Z</dcterms:created>
  <dcterms:modified xsi:type="dcterms:W3CDTF">2026-03-25T13:40:12Z</dcterms:modified>
</cp:coreProperties>
</file>