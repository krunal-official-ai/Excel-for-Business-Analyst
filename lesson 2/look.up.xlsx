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Ai.mL\EXCEL@5\"/>
    </mc:Choice>
  </mc:AlternateContent>
  <bookViews>
    <workbookView xWindow="0" yWindow="0" windowWidth="28800" windowHeight="12300" activeTab="2"/>
  </bookViews>
  <sheets>
    <sheet name="Vertical_Exact_match" sheetId="1" r:id="rId1"/>
    <sheet name="Vertical_Approx_match" sheetId="2" r:id="rId2"/>
    <sheet name="H_Lookup" sheetId="3" r:id="rId3"/>
  </sheets>
  <calcPr calcId="162913"/>
  <extLst>
    <ext uri="GoogleSheetsCustomDataVersion2">
      <go:sheetsCustomData xmlns:go="http://customooxmlschemas.google.com/" r:id="rId7" roundtripDataChecksum="YICT22w4Ruvb31t0ZdMw9ISx0W8+u+7k3qnsGZQt1YM="/>
    </ext>
  </extLst>
</workbook>
</file>

<file path=xl/calcChain.xml><?xml version="1.0" encoding="utf-8"?>
<calcChain xmlns="http://schemas.openxmlformats.org/spreadsheetml/2006/main">
  <c r="C11" i="3" l="1"/>
  <c r="C12" i="2" l="1"/>
  <c r="D14" i="1"/>
  <c r="E14" i="1"/>
  <c r="F14" i="1" s="1"/>
  <c r="G14" i="1" s="1"/>
  <c r="C11" i="1"/>
  <c r="C17" i="1"/>
  <c r="C14" i="1"/>
  <c r="F12" i="3" l="1"/>
  <c r="G17" i="2"/>
  <c r="H17" i="2" s="1"/>
  <c r="G16" i="2"/>
  <c r="H16" i="2" s="1"/>
  <c r="H15" i="2"/>
  <c r="G15" i="2"/>
  <c r="G12" i="2"/>
  <c r="H12" i="2" s="1"/>
  <c r="D17" i="1"/>
  <c r="E17" i="1" s="1"/>
  <c r="F17" i="1" s="1"/>
  <c r="G17" i="1" s="1"/>
</calcChain>
</file>

<file path=xl/sharedStrings.xml><?xml version="1.0" encoding="utf-8"?>
<sst xmlns="http://schemas.openxmlformats.org/spreadsheetml/2006/main" count="69" uniqueCount="31">
  <si>
    <t>No</t>
  </si>
  <si>
    <t>Name</t>
  </si>
  <si>
    <t>Age</t>
  </si>
  <si>
    <t>Maths</t>
  </si>
  <si>
    <t>Science</t>
  </si>
  <si>
    <t>English</t>
  </si>
  <si>
    <t>mayur</t>
  </si>
  <si>
    <t>rohan</t>
  </si>
  <si>
    <t>Krunal</t>
  </si>
  <si>
    <t>rajkahar</t>
  </si>
  <si>
    <t>suraj</t>
  </si>
  <si>
    <t>INPUT :</t>
  </si>
  <si>
    <t xml:space="preserve">OutPUT : </t>
  </si>
  <si>
    <t>ID</t>
  </si>
  <si>
    <t>product</t>
  </si>
  <si>
    <t>price</t>
  </si>
  <si>
    <t>laptop</t>
  </si>
  <si>
    <t>Ac</t>
  </si>
  <si>
    <t>tv</t>
  </si>
  <si>
    <t>watch</t>
  </si>
  <si>
    <t xml:space="preserve">smartphone </t>
  </si>
  <si>
    <t>headphone</t>
  </si>
  <si>
    <t>PRECEDING</t>
  </si>
  <si>
    <t>Month</t>
  </si>
  <si>
    <t>Jan</t>
  </si>
  <si>
    <t>Feb</t>
  </si>
  <si>
    <t>Mar</t>
  </si>
  <si>
    <t>Sales</t>
  </si>
  <si>
    <t>Profit</t>
  </si>
  <si>
    <t>Find Sales of Feb</t>
  </si>
  <si>
    <t>Find Profit of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</si>
</sst>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7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 applyFont="1" applyAlignme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5" fillId="2" borderId="5" xfId="0" applyFont="1" applyFill="1" applyBorder="1" applyAlignment="1"/>
    <xf numFmtId="0" fontId="5" fillId="2" borderId="5" xfId="0" applyFont="1" applyFill="1" applyBorder="1" applyAlignment="1">
      <alignment horizontal="center"/>
    </xf>
    <xf numFmtId="0" fontId="5" fillId="3" borderId="5" xfId="0" applyFont="1" applyFill="1" applyBorder="1" applyAlignment="1"/>
    <xf numFmtId="0" fontId="4" fillId="3" borderId="5" xfId="0" applyFont="1" applyFill="1" applyBorder="1" applyAlignment="1">
      <alignment horizontal="center" wrapText="1"/>
    </xf>
    <xf numFmtId="0" fontId="4" fillId="4" borderId="3" xfId="0" applyFont="1" applyFill="1" applyBorder="1" applyAlignment="1">
      <alignment horizontal="center" wrapText="1"/>
    </xf>
    <xf numFmtId="0" fontId="4" fillId="5" borderId="4" xfId="0" applyFont="1" applyFill="1" applyBorder="1" applyAlignment="1">
      <alignment horizontal="center" wrapText="1"/>
    </xf>
    <xf numFmtId="0" fontId="6" fillId="6" borderId="5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8" borderId="5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left"/>
    </xf>
    <xf numFmtId="0" fontId="5" fillId="9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left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10" borderId="5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left"/>
    </xf>
    <xf numFmtId="0" fontId="1" fillId="11" borderId="0" xfId="0" applyFont="1" applyFill="1" applyAlignment="1">
      <alignment horizontal="center" vertical="center"/>
    </xf>
    <xf numFmtId="0" fontId="1" fillId="12" borderId="0" xfId="0" applyFont="1" applyFill="1" applyAlignment="1"/>
    <xf numFmtId="0" fontId="5" fillId="13" borderId="6" xfId="0" applyFont="1" applyFill="1" applyBorder="1" applyAlignment="1">
      <alignment horizontal="center"/>
    </xf>
    <xf numFmtId="0" fontId="0" fillId="13" borderId="6" xfId="0" applyFont="1" applyFill="1" applyBorder="1" applyAlignment="1"/>
    <xf numFmtId="0" fontId="6" fillId="10" borderId="6" xfId="0" applyFont="1" applyFill="1" applyBorder="1" applyAlignment="1">
      <alignment horizontal="left"/>
    </xf>
    <xf numFmtId="0" fontId="6" fillId="9" borderId="6" xfId="0" applyFont="1" applyFill="1" applyBorder="1" applyAlignment="1">
      <alignment horizontal="left"/>
    </xf>
    <xf numFmtId="0" fontId="5" fillId="0" borderId="6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zoomScale="175" zoomScaleNormal="175" workbookViewId="0">
      <selection activeCell="C14" sqref="C14"/>
    </sheetView>
  </sheetViews>
  <sheetFormatPr defaultColWidth="14.42578125" defaultRowHeight="15" customHeight="1" x14ac:dyDescent="0.25"/>
  <cols>
    <col min="1" max="1" width="8.7109375" customWidth="1"/>
    <col min="2" max="2" width="10.140625" customWidth="1"/>
    <col min="3" max="3" width="38.42578125" customWidth="1"/>
    <col min="4" max="26" width="8.7109375" customWidth="1"/>
  </cols>
  <sheetData>
    <row r="1" spans="1:7" ht="22.5" x14ac:dyDescent="0.35">
      <c r="A1" s="1"/>
    </row>
    <row r="3" spans="1:7" x14ac:dyDescent="0.25"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1:7" x14ac:dyDescent="0.25">
      <c r="B4" s="4">
        <v>1</v>
      </c>
      <c r="C4" s="5" t="s">
        <v>6</v>
      </c>
      <c r="D4" s="6">
        <v>20</v>
      </c>
      <c r="E4" s="6">
        <v>78</v>
      </c>
      <c r="F4" s="6">
        <v>82</v>
      </c>
      <c r="G4" s="6">
        <v>75</v>
      </c>
    </row>
    <row r="5" spans="1:7" x14ac:dyDescent="0.25">
      <c r="B5" s="4">
        <v>2</v>
      </c>
      <c r="C5" s="5" t="s">
        <v>7</v>
      </c>
      <c r="D5" s="6">
        <v>21</v>
      </c>
      <c r="E5" s="6">
        <v>65</v>
      </c>
      <c r="F5" s="6">
        <v>70</v>
      </c>
      <c r="G5" s="6">
        <v>68</v>
      </c>
    </row>
    <row r="6" spans="1:7" x14ac:dyDescent="0.25">
      <c r="B6" s="4">
        <v>3</v>
      </c>
      <c r="C6" s="5" t="s">
        <v>8</v>
      </c>
      <c r="D6" s="6">
        <v>24</v>
      </c>
      <c r="E6" s="6">
        <v>88</v>
      </c>
      <c r="F6" s="6">
        <v>91</v>
      </c>
      <c r="G6" s="6">
        <v>85</v>
      </c>
    </row>
    <row r="7" spans="1:7" x14ac:dyDescent="0.25">
      <c r="B7" s="4">
        <v>4</v>
      </c>
      <c r="C7" s="5" t="s">
        <v>9</v>
      </c>
      <c r="D7" s="6">
        <v>23</v>
      </c>
      <c r="E7" s="6">
        <v>90</v>
      </c>
      <c r="F7" s="6">
        <v>86</v>
      </c>
      <c r="G7" s="6">
        <v>92</v>
      </c>
    </row>
    <row r="8" spans="1:7" x14ac:dyDescent="0.25">
      <c r="B8" s="4">
        <v>5</v>
      </c>
      <c r="C8" s="5" t="s">
        <v>10</v>
      </c>
      <c r="D8" s="6">
        <v>21</v>
      </c>
      <c r="E8" s="6">
        <v>72</v>
      </c>
      <c r="F8" s="6">
        <v>75</v>
      </c>
      <c r="G8" s="6">
        <v>70</v>
      </c>
    </row>
    <row r="10" spans="1:7" x14ac:dyDescent="0.25">
      <c r="B10" s="7" t="s">
        <v>11</v>
      </c>
      <c r="C10" s="8">
        <v>4</v>
      </c>
    </row>
    <row r="11" spans="1:7" x14ac:dyDescent="0.25">
      <c r="B11" s="9" t="s">
        <v>12</v>
      </c>
      <c r="C11" s="10" t="str">
        <f>VLOOKUP(C10,B3:G8,2,0)</f>
        <v>rajkahar</v>
      </c>
    </row>
    <row r="13" spans="1:7" x14ac:dyDescent="0.25">
      <c r="B13" s="2" t="s">
        <v>0</v>
      </c>
      <c r="C13" s="3" t="s">
        <v>1</v>
      </c>
      <c r="D13" s="3" t="s">
        <v>2</v>
      </c>
      <c r="E13" s="3" t="s">
        <v>3</v>
      </c>
      <c r="F13" s="3" t="s">
        <v>4</v>
      </c>
      <c r="G13" s="3" t="s">
        <v>5</v>
      </c>
    </row>
    <row r="14" spans="1:7" x14ac:dyDescent="0.25">
      <c r="B14" s="11">
        <v>5</v>
      </c>
      <c r="C14" s="12" t="str">
        <f>VLOOKUP(B14,B3:G8,2,0)</f>
        <v>suraj</v>
      </c>
      <c r="D14" s="12">
        <f t="shared" ref="D14:G14" si="0">VLOOKUP(C14,C3:H8,2,0)</f>
        <v>21</v>
      </c>
      <c r="E14" s="12">
        <f t="shared" si="0"/>
        <v>65</v>
      </c>
      <c r="F14" s="12">
        <f t="shared" si="0"/>
        <v>70</v>
      </c>
      <c r="G14" s="12">
        <f t="shared" si="0"/>
        <v>68</v>
      </c>
    </row>
    <row r="16" spans="1:7" x14ac:dyDescent="0.25">
      <c r="B16" s="2" t="s">
        <v>0</v>
      </c>
      <c r="C16" s="3" t="s">
        <v>1</v>
      </c>
      <c r="D16" s="3" t="s">
        <v>2</v>
      </c>
      <c r="E16" s="3" t="s">
        <v>3</v>
      </c>
      <c r="F16" s="3" t="s">
        <v>4</v>
      </c>
      <c r="G16" s="3" t="s">
        <v>5</v>
      </c>
    </row>
    <row r="17" spans="2:7" x14ac:dyDescent="0.25">
      <c r="B17" s="11">
        <v>6</v>
      </c>
      <c r="C17" s="12" t="str">
        <f>IFERROR(VLOOKUP(B17,B3:G8,2,0),"🦁")</f>
        <v>🦁</v>
      </c>
      <c r="D17" s="12" t="str">
        <f t="shared" ref="D17:G17" si="1">IFERROR(VLOOKUP(C17,C3:H8,2,0),"😊")</f>
        <v>😊</v>
      </c>
      <c r="E17" s="12" t="str">
        <f t="shared" si="1"/>
        <v>😊</v>
      </c>
      <c r="F17" s="12" t="str">
        <f t="shared" si="1"/>
        <v>😊</v>
      </c>
      <c r="G17" s="12" t="str">
        <f t="shared" si="1"/>
        <v>😊</v>
      </c>
    </row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6" spans="2:7" ht="15.75" customHeight="1" x14ac:dyDescent="0.25"/>
    <row r="27" spans="2:7" ht="15.75" customHeight="1" x14ac:dyDescent="0.25"/>
    <row r="28" spans="2:7" ht="15.75" customHeight="1" x14ac:dyDescent="0.25"/>
    <row r="29" spans="2:7" ht="15.75" customHeight="1" x14ac:dyDescent="0.25"/>
    <row r="30" spans="2:7" ht="15.75" customHeight="1" x14ac:dyDescent="0.25"/>
    <row r="31" spans="2:7" ht="15.75" customHeight="1" x14ac:dyDescent="0.25"/>
    <row r="32" spans="2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I17"/>
  <sheetViews>
    <sheetView zoomScale="130" zoomScaleNormal="130" workbookViewId="0">
      <selection activeCell="G17" sqref="G17"/>
    </sheetView>
  </sheetViews>
  <sheetFormatPr defaultColWidth="14.42578125" defaultRowHeight="15" customHeight="1" x14ac:dyDescent="0.25"/>
  <cols>
    <col min="2" max="2" width="11.140625" customWidth="1"/>
  </cols>
  <sheetData>
    <row r="3" spans="2:9" x14ac:dyDescent="0.25">
      <c r="B3" s="13" t="s">
        <v>13</v>
      </c>
      <c r="C3" s="14" t="s">
        <v>14</v>
      </c>
      <c r="D3" s="15" t="s">
        <v>15</v>
      </c>
      <c r="F3" s="13" t="s">
        <v>13</v>
      </c>
      <c r="G3" s="14" t="s">
        <v>14</v>
      </c>
      <c r="H3" s="15" t="s">
        <v>15</v>
      </c>
    </row>
    <row r="4" spans="2:9" x14ac:dyDescent="0.25">
      <c r="B4" s="16">
        <v>1</v>
      </c>
      <c r="C4" s="17" t="s">
        <v>16</v>
      </c>
      <c r="D4" s="16">
        <v>10000</v>
      </c>
      <c r="F4" s="16">
        <v>101</v>
      </c>
      <c r="G4" s="17" t="s">
        <v>16</v>
      </c>
      <c r="H4" s="16">
        <v>10000</v>
      </c>
    </row>
    <row r="5" spans="2:9" x14ac:dyDescent="0.25">
      <c r="B5" s="16">
        <v>2</v>
      </c>
      <c r="C5" s="17" t="s">
        <v>17</v>
      </c>
      <c r="D5" s="16">
        <v>18000</v>
      </c>
      <c r="F5" s="18">
        <v>120</v>
      </c>
      <c r="G5" s="19" t="s">
        <v>17</v>
      </c>
      <c r="H5" s="18">
        <v>18000</v>
      </c>
    </row>
    <row r="6" spans="2:9" x14ac:dyDescent="0.25">
      <c r="B6" s="16">
        <v>3</v>
      </c>
      <c r="C6" s="17" t="s">
        <v>18</v>
      </c>
      <c r="D6" s="16">
        <v>20000</v>
      </c>
      <c r="F6" s="16">
        <v>135</v>
      </c>
      <c r="G6" s="17" t="s">
        <v>18</v>
      </c>
      <c r="H6" s="16">
        <v>20000</v>
      </c>
    </row>
    <row r="7" spans="2:9" x14ac:dyDescent="0.25">
      <c r="B7" s="16">
        <v>4</v>
      </c>
      <c r="C7" s="17" t="s">
        <v>19</v>
      </c>
      <c r="D7" s="16">
        <v>50000</v>
      </c>
      <c r="F7" s="16">
        <v>140</v>
      </c>
      <c r="G7" s="17" t="s">
        <v>19</v>
      </c>
      <c r="H7" s="16">
        <v>50000</v>
      </c>
    </row>
    <row r="8" spans="2:9" x14ac:dyDescent="0.25">
      <c r="B8" s="16">
        <v>5</v>
      </c>
      <c r="C8" s="17" t="s">
        <v>20</v>
      </c>
      <c r="D8" s="16">
        <v>80000</v>
      </c>
      <c r="F8" s="20">
        <v>180</v>
      </c>
      <c r="G8" s="21" t="s">
        <v>20</v>
      </c>
      <c r="H8" s="20">
        <v>80000</v>
      </c>
    </row>
    <row r="9" spans="2:9" x14ac:dyDescent="0.25">
      <c r="B9" s="16">
        <v>6</v>
      </c>
      <c r="C9" s="17" t="s">
        <v>21</v>
      </c>
      <c r="D9" s="16">
        <v>85000</v>
      </c>
      <c r="F9" s="16">
        <v>200</v>
      </c>
      <c r="G9" s="17" t="s">
        <v>21</v>
      </c>
      <c r="H9" s="16">
        <v>85000</v>
      </c>
    </row>
    <row r="11" spans="2:9" x14ac:dyDescent="0.25">
      <c r="B11" s="22" t="s">
        <v>13</v>
      </c>
      <c r="C11" s="22" t="s">
        <v>14</v>
      </c>
      <c r="D11" s="22" t="s">
        <v>15</v>
      </c>
      <c r="F11" s="22" t="s">
        <v>13</v>
      </c>
      <c r="G11" s="22" t="s">
        <v>14</v>
      </c>
      <c r="H11" s="22" t="s">
        <v>15</v>
      </c>
    </row>
    <row r="12" spans="2:9" x14ac:dyDescent="0.25">
      <c r="B12" s="16">
        <v>3</v>
      </c>
      <c r="C12" s="16" t="str">
        <f>VLOOKUP(B12,B3:D9,2,1)</f>
        <v>tv</v>
      </c>
      <c r="D12" s="16"/>
      <c r="F12" s="20">
        <v>178</v>
      </c>
      <c r="G12" s="20" t="str">
        <f t="shared" ref="G12:H12" si="0">VLOOKUP(F12,F3:H9,2,1)</f>
        <v>watch</v>
      </c>
      <c r="H12" s="20">
        <f t="shared" si="0"/>
        <v>85000</v>
      </c>
    </row>
    <row r="14" spans="2:9" x14ac:dyDescent="0.25">
      <c r="F14" s="22" t="s">
        <v>13</v>
      </c>
      <c r="G14" s="22" t="s">
        <v>14</v>
      </c>
      <c r="H14" s="22" t="s">
        <v>15</v>
      </c>
    </row>
    <row r="15" spans="2:9" x14ac:dyDescent="0.25">
      <c r="F15" s="18">
        <v>122</v>
      </c>
      <c r="G15" s="18" t="str">
        <f t="shared" ref="G15:G17" si="1">VLOOKUP(F15,F3:H9,2,1)</f>
        <v>Ac</v>
      </c>
      <c r="H15" s="18">
        <f>VLOOKUP(F15,F3:H9,3,1)</f>
        <v>18000</v>
      </c>
      <c r="I15" s="26" t="s">
        <v>22</v>
      </c>
    </row>
    <row r="16" spans="2:9" x14ac:dyDescent="0.25">
      <c r="F16" s="18">
        <v>130</v>
      </c>
      <c r="G16" s="18" t="str">
        <f t="shared" si="1"/>
        <v>Ac</v>
      </c>
      <c r="H16" s="18">
        <f t="shared" ref="H16:H17" si="2">VLOOKUP(G16,G4:I10,2,1)</f>
        <v>18000</v>
      </c>
      <c r="I16" s="27"/>
    </row>
    <row r="17" spans="6:9" x14ac:dyDescent="0.25">
      <c r="F17" s="18">
        <v>100</v>
      </c>
      <c r="G17" s="18" t="e">
        <f t="shared" si="1"/>
        <v>#N/A</v>
      </c>
      <c r="H17" s="18" t="e">
        <f t="shared" si="2"/>
        <v>#N/A</v>
      </c>
      <c r="I17" s="27"/>
    </row>
  </sheetData>
  <mergeCells count="1">
    <mergeCell ref="I15:I1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B3:F12"/>
  <sheetViews>
    <sheetView tabSelected="1" zoomScale="130" zoomScaleNormal="130" workbookViewId="0">
      <selection activeCell="H5" sqref="H5"/>
    </sheetView>
  </sheetViews>
  <sheetFormatPr defaultColWidth="14.42578125" defaultRowHeight="15" customHeight="1" x14ac:dyDescent="0.25"/>
  <sheetData>
    <row r="3" spans="2:6" x14ac:dyDescent="0.25">
      <c r="B3" s="23"/>
      <c r="C3" s="23"/>
      <c r="D3" s="23"/>
      <c r="E3" s="23"/>
    </row>
    <row r="4" spans="2:6" x14ac:dyDescent="0.25">
      <c r="B4" s="24" t="s">
        <v>23</v>
      </c>
      <c r="C4" s="25" t="s">
        <v>24</v>
      </c>
      <c r="D4" s="25" t="s">
        <v>25</v>
      </c>
      <c r="E4" s="25" t="s">
        <v>26</v>
      </c>
    </row>
    <row r="5" spans="2:6" x14ac:dyDescent="0.25">
      <c r="B5" s="24" t="s">
        <v>27</v>
      </c>
      <c r="C5" s="17">
        <v>1000</v>
      </c>
      <c r="D5" s="17">
        <v>1500</v>
      </c>
      <c r="E5" s="17">
        <v>2000</v>
      </c>
    </row>
    <row r="6" spans="2:6" x14ac:dyDescent="0.25">
      <c r="B6" s="24" t="s">
        <v>28</v>
      </c>
      <c r="C6" s="17">
        <v>200</v>
      </c>
      <c r="D6" s="17">
        <v>300</v>
      </c>
      <c r="E6" s="17">
        <v>500</v>
      </c>
    </row>
    <row r="9" spans="2:6" x14ac:dyDescent="0.25">
      <c r="B9" s="28" t="s">
        <v>29</v>
      </c>
      <c r="C9" s="29"/>
      <c r="E9" s="28" t="s">
        <v>30</v>
      </c>
      <c r="F9" s="29"/>
    </row>
    <row r="10" spans="2:6" x14ac:dyDescent="0.25">
      <c r="B10" s="30" t="s">
        <v>23</v>
      </c>
      <c r="C10" s="31" t="s">
        <v>25</v>
      </c>
      <c r="E10" s="30" t="s">
        <v>23</v>
      </c>
      <c r="F10" s="31" t="s">
        <v>26</v>
      </c>
    </row>
    <row r="11" spans="2:6" x14ac:dyDescent="0.25">
      <c r="B11" s="30" t="s">
        <v>27</v>
      </c>
      <c r="C11" s="32">
        <f>HLOOKUP(C10,B4:E6,2,FALSE)</f>
        <v>1500</v>
      </c>
      <c r="E11" s="30" t="s">
        <v>27</v>
      </c>
      <c r="F11" s="32"/>
    </row>
    <row r="12" spans="2:6" x14ac:dyDescent="0.25">
      <c r="B12" s="30" t="s">
        <v>28</v>
      </c>
      <c r="C12" s="32"/>
      <c r="E12" s="30" t="s">
        <v>28</v>
      </c>
      <c r="F12" s="32">
        <f>HLOOKUP(F10,B4:E6,3,FALSE)</f>
        <v>500</v>
      </c>
    </row>
  </sheetData>
  <mergeCells count="2">
    <mergeCell ref="B9:C9"/>
    <mergeCell ref="E9:F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Vertical_Exact_match</vt:lpstr>
      <vt:lpstr>Vertical_Approx_match</vt:lpstr>
      <vt:lpstr>H_Lookup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krunal sir</dc:creator>
  <cp:lastModifiedBy>admin</cp:lastModifiedBy>
  <dcterms:created xsi:type="dcterms:W3CDTF">2025-12-23T07:33:54Z</dcterms:created>
  <dcterms:modified xsi:type="dcterms:W3CDTF">2026-04-27T06:02:32Z</dcterms:modified>
</cp:coreProperties>
</file>